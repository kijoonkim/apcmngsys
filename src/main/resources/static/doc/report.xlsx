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9494F2C6-B8E1-45A9-8B57-4676C0E80529}" xr6:coauthVersionLast="47" xr6:coauthVersionMax="47" xr10:uidLastSave="{00000000-0000-0000-0000-000000000000}"/>
  <bookViews>
    <workbookView xWindow="-103" yWindow="-103" windowWidth="22149" windowHeight="13200" xr2:uid="{30268A3F-753A-48F6-A711-C14E9A368A91}"/>
  </bookViews>
  <sheets>
    <sheet name="고당, 당도" sheetId="4" r:id="rId1"/>
  </sheets>
  <definedNames>
    <definedName name="_xlnm._FilterDatabase" localSheetId="0" hidden="1">'고당, 당도'!#REF!</definedName>
    <definedName name="_xlnm.Print_Area" localSheetId="0">'고당, 당도'!$A$37:$P$44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4" l="1"/>
  <c r="F12" i="4"/>
  <c r="P45" i="4" l="1"/>
  <c r="N52" i="4" l="1"/>
  <c r="F76" i="4" l="1"/>
  <c r="G76" i="4"/>
  <c r="H76" i="4"/>
  <c r="I76" i="4"/>
  <c r="J76" i="4"/>
  <c r="K76" i="4"/>
  <c r="L76" i="4"/>
  <c r="M76" i="4"/>
  <c r="F28" i="4" l="1"/>
  <c r="G28" i="4"/>
  <c r="H28" i="4"/>
  <c r="I28" i="4"/>
  <c r="J28" i="4"/>
  <c r="K28" i="4"/>
  <c r="L28" i="4"/>
  <c r="M28" i="4"/>
  <c r="P59" i="4" l="1"/>
  <c r="L81" i="4"/>
  <c r="M81" i="4"/>
  <c r="N81" i="4"/>
  <c r="P53" i="4" l="1"/>
  <c r="P9" i="4" l="1"/>
  <c r="O48" i="4" l="1"/>
  <c r="N48" i="4"/>
  <c r="M48" i="4"/>
  <c r="L48" i="4"/>
  <c r="K48" i="4"/>
  <c r="J48" i="4"/>
  <c r="I48" i="4"/>
  <c r="H48" i="4"/>
  <c r="G48" i="4"/>
  <c r="F48" i="4"/>
  <c r="O44" i="4"/>
  <c r="N44" i="4"/>
  <c r="M44" i="4"/>
  <c r="L44" i="4"/>
  <c r="K44" i="4"/>
  <c r="J44" i="4"/>
  <c r="I44" i="4"/>
  <c r="H44" i="4"/>
  <c r="G44" i="4"/>
  <c r="F44" i="4"/>
  <c r="G52" i="4"/>
  <c r="H52" i="4"/>
  <c r="I52" i="4"/>
  <c r="J52" i="4"/>
  <c r="K52" i="4"/>
  <c r="L52" i="4"/>
  <c r="M52" i="4"/>
  <c r="O52" i="4"/>
  <c r="F52" i="4"/>
  <c r="E52" i="4" l="1"/>
  <c r="O64" i="4"/>
  <c r="N64" i="4"/>
  <c r="M64" i="4"/>
  <c r="L64" i="4"/>
  <c r="K64" i="4"/>
  <c r="J64" i="4"/>
  <c r="I64" i="4"/>
  <c r="H64" i="4"/>
  <c r="G64" i="4"/>
  <c r="F64" i="4"/>
  <c r="E64" i="4" l="1"/>
  <c r="O83" i="4"/>
  <c r="N83" i="4"/>
  <c r="M83" i="4"/>
  <c r="L83" i="4"/>
  <c r="K83" i="4"/>
  <c r="J83" i="4"/>
  <c r="I83" i="4"/>
  <c r="H83" i="4"/>
  <c r="G83" i="4"/>
  <c r="F83" i="4"/>
  <c r="E83" i="4"/>
  <c r="O82" i="4"/>
  <c r="N82" i="4"/>
  <c r="M82" i="4"/>
  <c r="L82" i="4"/>
  <c r="K82" i="4"/>
  <c r="J82" i="4"/>
  <c r="I82" i="4"/>
  <c r="H82" i="4"/>
  <c r="G82" i="4"/>
  <c r="F82" i="4"/>
  <c r="E82" i="4"/>
  <c r="O81" i="4"/>
  <c r="K81" i="4"/>
  <c r="J81" i="4"/>
  <c r="I81" i="4"/>
  <c r="H81" i="4"/>
  <c r="G81" i="4"/>
  <c r="F81" i="4"/>
  <c r="E81" i="4"/>
  <c r="O80" i="4"/>
  <c r="N80" i="4"/>
  <c r="M80" i="4"/>
  <c r="L80" i="4"/>
  <c r="K80" i="4"/>
  <c r="J80" i="4"/>
  <c r="I80" i="4"/>
  <c r="H80" i="4"/>
  <c r="G80" i="4"/>
  <c r="F80" i="4"/>
  <c r="P79" i="4"/>
  <c r="P78" i="4"/>
  <c r="P77" i="4"/>
  <c r="O76" i="4"/>
  <c r="N76" i="4"/>
  <c r="P75" i="4"/>
  <c r="P74" i="4"/>
  <c r="P73" i="4"/>
  <c r="O72" i="4"/>
  <c r="N72" i="4"/>
  <c r="M72" i="4"/>
  <c r="L72" i="4"/>
  <c r="K72" i="4"/>
  <c r="J72" i="4"/>
  <c r="I72" i="4"/>
  <c r="H72" i="4"/>
  <c r="G72" i="4"/>
  <c r="F72" i="4"/>
  <c r="P71" i="4"/>
  <c r="P70" i="4"/>
  <c r="P69" i="4"/>
  <c r="O68" i="4"/>
  <c r="N68" i="4"/>
  <c r="M68" i="4"/>
  <c r="L68" i="4"/>
  <c r="K68" i="4"/>
  <c r="J68" i="4"/>
  <c r="I68" i="4"/>
  <c r="H68" i="4"/>
  <c r="G68" i="4"/>
  <c r="F68" i="4"/>
  <c r="P67" i="4"/>
  <c r="P66" i="4"/>
  <c r="P65" i="4"/>
  <c r="P63" i="4"/>
  <c r="P62" i="4"/>
  <c r="P61" i="4"/>
  <c r="O60" i="4"/>
  <c r="N60" i="4"/>
  <c r="M60" i="4"/>
  <c r="L60" i="4"/>
  <c r="K60" i="4"/>
  <c r="J60" i="4"/>
  <c r="I60" i="4"/>
  <c r="H60" i="4"/>
  <c r="G60" i="4"/>
  <c r="F60" i="4"/>
  <c r="P58" i="4"/>
  <c r="P57" i="4"/>
  <c r="O56" i="4"/>
  <c r="N56" i="4"/>
  <c r="M56" i="4"/>
  <c r="L56" i="4"/>
  <c r="K56" i="4"/>
  <c r="J56" i="4"/>
  <c r="I56" i="4"/>
  <c r="H56" i="4"/>
  <c r="G56" i="4"/>
  <c r="F56" i="4"/>
  <c r="P55" i="4"/>
  <c r="P54" i="4"/>
  <c r="P51" i="4"/>
  <c r="P50" i="4"/>
  <c r="P49" i="4"/>
  <c r="P47" i="4"/>
  <c r="P46" i="4"/>
  <c r="P43" i="4"/>
  <c r="P42" i="4"/>
  <c r="P41" i="4"/>
  <c r="O40" i="4"/>
  <c r="N40" i="4"/>
  <c r="M40" i="4"/>
  <c r="L40" i="4"/>
  <c r="K40" i="4"/>
  <c r="J40" i="4"/>
  <c r="I40" i="4"/>
  <c r="H40" i="4"/>
  <c r="G40" i="4"/>
  <c r="F40" i="4"/>
  <c r="P39" i="4"/>
  <c r="P37" i="4"/>
  <c r="O36" i="4"/>
  <c r="N36" i="4"/>
  <c r="M36" i="4"/>
  <c r="L36" i="4"/>
  <c r="K36" i="4"/>
  <c r="J36" i="4"/>
  <c r="I36" i="4"/>
  <c r="H36" i="4"/>
  <c r="G36" i="4"/>
  <c r="F36" i="4"/>
  <c r="P35" i="4"/>
  <c r="P34" i="4"/>
  <c r="P33" i="4"/>
  <c r="O32" i="4"/>
  <c r="N32" i="4"/>
  <c r="M32" i="4"/>
  <c r="L32" i="4"/>
  <c r="K32" i="4"/>
  <c r="J32" i="4"/>
  <c r="I32" i="4"/>
  <c r="H32" i="4"/>
  <c r="G32" i="4"/>
  <c r="F32" i="4"/>
  <c r="P31" i="4"/>
  <c r="P30" i="4"/>
  <c r="P29" i="4"/>
  <c r="O28" i="4"/>
  <c r="N28" i="4"/>
  <c r="E28" i="4" s="1"/>
  <c r="P27" i="4"/>
  <c r="P26" i="4"/>
  <c r="P25" i="4"/>
  <c r="O24" i="4"/>
  <c r="N24" i="4"/>
  <c r="M24" i="4"/>
  <c r="L24" i="4"/>
  <c r="K24" i="4"/>
  <c r="J24" i="4"/>
  <c r="I24" i="4"/>
  <c r="H24" i="4"/>
  <c r="G24" i="4"/>
  <c r="F24" i="4"/>
  <c r="P23" i="4"/>
  <c r="P22" i="4"/>
  <c r="P21" i="4"/>
  <c r="O20" i="4"/>
  <c r="N20" i="4"/>
  <c r="M20" i="4"/>
  <c r="L20" i="4"/>
  <c r="K20" i="4"/>
  <c r="J20" i="4"/>
  <c r="I20" i="4"/>
  <c r="H20" i="4"/>
  <c r="G20" i="4"/>
  <c r="F20" i="4"/>
  <c r="P19" i="4"/>
  <c r="P18" i="4"/>
  <c r="P17" i="4"/>
  <c r="O16" i="4"/>
  <c r="N16" i="4"/>
  <c r="M16" i="4"/>
  <c r="L16" i="4"/>
  <c r="K16" i="4"/>
  <c r="J16" i="4"/>
  <c r="I16" i="4"/>
  <c r="H16" i="4"/>
  <c r="G16" i="4"/>
  <c r="F16" i="4"/>
  <c r="P15" i="4"/>
  <c r="P14" i="4"/>
  <c r="P13" i="4"/>
  <c r="O12" i="4"/>
  <c r="N12" i="4"/>
  <c r="M12" i="4"/>
  <c r="L12" i="4"/>
  <c r="K12" i="4"/>
  <c r="J12" i="4"/>
  <c r="I12" i="4"/>
  <c r="H12" i="4"/>
  <c r="G12" i="4"/>
  <c r="P11" i="4"/>
  <c r="P10" i="4"/>
  <c r="O8" i="4"/>
  <c r="N8" i="4"/>
  <c r="M8" i="4"/>
  <c r="L8" i="4"/>
  <c r="K8" i="4"/>
  <c r="J8" i="4"/>
  <c r="I8" i="4"/>
  <c r="H8" i="4"/>
  <c r="G8" i="4"/>
  <c r="F8" i="4"/>
  <c r="P7" i="4"/>
  <c r="P6" i="4"/>
  <c r="P5" i="4"/>
  <c r="E32" i="4" l="1"/>
  <c r="E8" i="4"/>
  <c r="E76" i="4"/>
  <c r="O84" i="4"/>
  <c r="P76" i="4"/>
  <c r="E56" i="4"/>
  <c r="P32" i="4"/>
  <c r="E48" i="4"/>
  <c r="P48" i="4"/>
  <c r="E60" i="4"/>
  <c r="P52" i="4"/>
  <c r="P28" i="4"/>
  <c r="E20" i="4"/>
  <c r="P20" i="4"/>
  <c r="I84" i="4"/>
  <c r="P83" i="4"/>
  <c r="E80" i="4"/>
  <c r="P80" i="4"/>
  <c r="E44" i="4"/>
  <c r="P44" i="4"/>
  <c r="E36" i="4"/>
  <c r="P36" i="4"/>
  <c r="E72" i="4"/>
  <c r="N84" i="4"/>
  <c r="E68" i="4"/>
  <c r="P68" i="4"/>
  <c r="E40" i="4"/>
  <c r="P82" i="4"/>
  <c r="E12" i="4"/>
  <c r="K84" i="4"/>
  <c r="P12" i="4"/>
  <c r="P16" i="4"/>
  <c r="H84" i="4"/>
  <c r="E16" i="4"/>
  <c r="L84" i="4"/>
  <c r="J84" i="4"/>
  <c r="M84" i="4"/>
  <c r="P64" i="4"/>
  <c r="P60" i="4"/>
  <c r="P81" i="4"/>
  <c r="F84" i="4"/>
  <c r="G84" i="4"/>
  <c r="P8" i="4"/>
  <c r="P24" i="4"/>
  <c r="P40" i="4"/>
  <c r="P56" i="4"/>
  <c r="P72" i="4"/>
  <c r="E24" i="4"/>
  <c r="E84" i="4" l="1"/>
  <c r="P84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<sst xmlns="http://schemas.openxmlformats.org/spreadsheetml/2006/main" count="94" uniqueCount="19">
  <si>
    <t>선별 수량</t>
    <phoneticPr fontId="5" type="noConversion"/>
  </si>
  <si>
    <t>비품</t>
    <phoneticPr fontId="5" type="noConversion"/>
  </si>
  <si>
    <t>당도 파괴</t>
    <phoneticPr fontId="5" type="noConversion"/>
  </si>
  <si>
    <t>입고 수량</t>
    <phoneticPr fontId="5" type="noConversion"/>
  </si>
  <si>
    <t>입고 선별 합계</t>
    <phoneticPr fontId="5" type="noConversion"/>
  </si>
  <si>
    <t>합계</t>
    <phoneticPr fontId="5" type="noConversion"/>
  </si>
  <si>
    <t>미달</t>
    <phoneticPr fontId="5" type="noConversion"/>
  </si>
  <si>
    <t>파렛트</t>
    <phoneticPr fontId="5" type="noConversion"/>
  </si>
  <si>
    <t>규격</t>
    <phoneticPr fontId="5" type="noConversion"/>
  </si>
  <si>
    <t>계약</t>
    <phoneticPr fontId="5" type="noConversion"/>
  </si>
  <si>
    <t>품종</t>
    <phoneticPr fontId="5" type="noConversion"/>
  </si>
  <si>
    <t>농가명</t>
    <phoneticPr fontId="5" type="noConversion"/>
  </si>
  <si>
    <t>대표이사</t>
    <phoneticPr fontId="5" type="noConversion"/>
  </si>
  <si>
    <t>부사장</t>
    <phoneticPr fontId="5" type="noConversion"/>
  </si>
  <si>
    <t>전무</t>
    <phoneticPr fontId="5" type="noConversion"/>
  </si>
  <si>
    <t>부장</t>
    <phoneticPr fontId="5" type="noConversion"/>
  </si>
  <si>
    <t>과장</t>
    <phoneticPr fontId="5" type="noConversion"/>
  </si>
  <si>
    <t>결재</t>
    <phoneticPr fontId="5" type="noConversion"/>
  </si>
  <si>
    <t>고당도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</si>
</sst>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_);[Red]\(0\)"/>
    <numFmt numFmtId="177" formatCode="0.0_);[Red]\(0.0\)"/>
    <numFmt numFmtId="178" formatCode="#,##0_ ;[Red]\-#,##0\ "/>
    <numFmt numFmtId="179" formatCode="&quot; &quot;#,##0&quot; &quot;;&quot;-&quot;#,##0&quot; &quot;;&quot; - &quot;;&quot; &quot;@&quot; &quot;"/>
    <numFmt numFmtId="180" formatCode="0.0&quot;kg&quot;"/>
    <numFmt numFmtId="181" formatCode="0.0_ "/>
    <numFmt numFmtId="182" formatCode="yyyy&quot;년&quot;\ m&quot;월&quot;\ d&quot;일&quot;;@"/>
    <numFmt numFmtId="183" formatCode="#,##0.0_ 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0" xfId="2">
      <alignment vertical="center"/>
    </xf>
    <xf numFmtId="0" fontId="2" fillId="0" borderId="0" xfId="2" applyAlignment="1">
      <alignment horizontal="center" vertical="center"/>
    </xf>
    <xf numFmtId="176" fontId="2" fillId="0" borderId="0" xfId="2" applyNumberFormat="1" applyAlignment="1">
      <alignment horizontal="center" vertical="center"/>
    </xf>
    <xf numFmtId="176" fontId="2" fillId="0" borderId="0" xfId="2" applyNumberFormat="1">
      <alignment vertical="center"/>
    </xf>
    <xf numFmtId="178" fontId="2" fillId="0" borderId="0" xfId="2" applyNumberFormat="1">
      <alignment vertical="center"/>
    </xf>
    <xf numFmtId="176" fontId="4" fillId="0" borderId="2" xfId="1" applyNumberFormat="1" applyFont="1" applyBorder="1" applyAlignment="1">
      <alignment horizontal="center" vertical="center"/>
    </xf>
    <xf numFmtId="176" fontId="4" fillId="0" borderId="1" xfId="3" applyNumberFormat="1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177" fontId="4" fillId="0" borderId="2" xfId="1" applyNumberFormat="1" applyFont="1" applyBorder="1" applyAlignment="1">
      <alignment horizontal="center" vertical="center"/>
    </xf>
    <xf numFmtId="177" fontId="2" fillId="0" borderId="0" xfId="2" applyNumberFormat="1">
      <alignment vertical="center"/>
    </xf>
    <xf numFmtId="0" fontId="4" fillId="0" borderId="3" xfId="3" applyNumberFormat="1" applyFont="1" applyBorder="1" applyAlignment="1">
      <alignment horizontal="center" vertical="center"/>
    </xf>
    <xf numFmtId="0" fontId="4" fillId="0" borderId="4" xfId="1" applyNumberFormat="1" applyFont="1" applyBorder="1" applyAlignment="1">
      <alignment horizontal="center" vertical="center"/>
    </xf>
    <xf numFmtId="176" fontId="4" fillId="0" borderId="4" xfId="1" applyNumberFormat="1" applyFont="1" applyBorder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176" fontId="11" fillId="0" borderId="0" xfId="2" applyNumberFormat="1" applyFont="1" applyAlignment="1">
      <alignment horizontal="center" vertical="center"/>
    </xf>
    <xf numFmtId="0" fontId="11" fillId="0" borderId="0" xfId="2" applyFont="1">
      <alignment vertical="center"/>
    </xf>
    <xf numFmtId="177" fontId="11" fillId="0" borderId="0" xfId="2" applyNumberFormat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177" fontId="4" fillId="4" borderId="0" xfId="2" applyNumberFormat="1" applyFont="1" applyFill="1" applyAlignment="1">
      <alignment horizontal="center" vertical="center"/>
    </xf>
    <xf numFmtId="180" fontId="4" fillId="4" borderId="0" xfId="2" applyNumberFormat="1" applyFont="1" applyFill="1" applyAlignment="1">
      <alignment horizontal="center" vertical="center"/>
    </xf>
    <xf numFmtId="0" fontId="4" fillId="0" borderId="0" xfId="2" applyFont="1" applyAlignment="1">
      <alignment horizontal="center" vertical="center"/>
    </xf>
    <xf numFmtId="177" fontId="4" fillId="0" borderId="0" xfId="3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4" fillId="0" borderId="0" xfId="1" applyNumberFormat="1" applyFont="1" applyBorder="1" applyAlignment="1">
      <alignment horizontal="center" vertical="center"/>
    </xf>
    <xf numFmtId="176" fontId="4" fillId="0" borderId="0" xfId="3" applyNumberFormat="1" applyFont="1" applyBorder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177" fontId="4" fillId="3" borderId="0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4" fillId="0" borderId="0" xfId="1" applyNumberFormat="1" applyFont="1" applyBorder="1" applyAlignment="1">
      <alignment horizontal="center" vertical="center"/>
    </xf>
    <xf numFmtId="181" fontId="4" fillId="3" borderId="0" xfId="3" applyNumberFormat="1" applyFont="1" applyFill="1" applyBorder="1" applyAlignment="1">
      <alignment horizontal="center" vertical="center"/>
    </xf>
    <xf numFmtId="176" fontId="4" fillId="3" borderId="0" xfId="3" applyNumberFormat="1" applyFont="1" applyFill="1" applyBorder="1" applyAlignment="1">
      <alignment horizontal="center" vertical="center"/>
    </xf>
    <xf numFmtId="0" fontId="4" fillId="3" borderId="0" xfId="3" applyNumberFormat="1" applyFont="1" applyFill="1" applyBorder="1" applyAlignment="1">
      <alignment horizontal="center" vertical="center"/>
    </xf>
    <xf numFmtId="183" fontId="4" fillId="3" borderId="0" xfId="3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4" fillId="2" borderId="0" xfId="3" applyNumberFormat="1" applyFont="1" applyFill="1" applyBorder="1" applyAlignment="1">
      <alignment horizontal="center" vertical="center"/>
    </xf>
    <xf numFmtId="178" fontId="4" fillId="2" borderId="0" xfId="3" applyNumberFormat="1" applyFont="1" applyFill="1" applyBorder="1" applyAlignment="1">
      <alignment horizontal="center" vertical="center"/>
    </xf>
    <xf numFmtId="177" fontId="2" fillId="0" borderId="0" xfId="2" applyNumberFormat="1" applyAlignment="1">
      <alignment horizontal="center" vertical="center"/>
    </xf>
    <xf numFmtId="178" fontId="2" fillId="0" borderId="0" xfId="2" applyNumberFormat="1" applyAlignment="1">
      <alignment horizontal="center" vertical="center"/>
    </xf>
    <xf numFmtId="176" fontId="4" fillId="0" borderId="0" xfId="3" applyNumberFormat="1" applyFont="1" applyFill="1" applyBorder="1" applyAlignment="1">
      <alignment horizontal="center" vertical="center"/>
    </xf>
    <xf numFmtId="180" fontId="4" fillId="0" borderId="0" xfId="2" applyNumberFormat="1" applyFont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182" fontId="10" fillId="0" borderId="0" xfId="2" applyNumberFormat="1" applyFont="1" applyAlignment="1">
      <alignment horizontal="center" vertical="center"/>
    </xf>
    <xf numFmtId="176" fontId="9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4" fillId="2" borderId="0" xfId="2" applyNumberFormat="1" applyFont="1" applyFill="1" applyAlignment="1">
      <alignment horizontal="center" vertical="center" wrapText="1"/>
    </xf>
  </cellXfs>
  <cellStyles count="4">
    <cellStyle name="쉼표 [0]" xfId="1" builtinId="6"/>
    <cellStyle name="쉼표 [0] 2" xfId="3" xr:uid="{E4909C7E-C12F-4E3F-A10A-A13950CAA262}"/>
    <cellStyle name="표준" xfId="0" builtinId="0"/>
    <cellStyle name="표준 2" xfId="2" xr:uid="{FB7E10B4-F723-48CA-AEB3-CD0C588B08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8207-581B-4F76-990F-02004237F94F}">
  <sheetPr>
    <tabColor theme="9" tint="-0.499984740745262"/>
    <pageSetUpPr fitToPage="1"/>
  </sheetPr>
  <dimension ref="A1:AC109"/>
  <sheetViews>
    <sheetView tabSelected="1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T8" sqref="T8"/>
    </sheetView>
  </sheetViews>
  <sheetFormatPr defaultColWidth="9" defaultRowHeight="17.600000000000001" x14ac:dyDescent="0.55000000000000004"/>
  <cols>
    <col min="1" max="1" width="9.85546875" style="1" customWidth="1"/>
    <col min="2" max="3" width="8.7109375" style="1" bestFit="1" customWidth="1"/>
    <col min="4" max="4" width="8.640625" style="1" bestFit="1" customWidth="1"/>
    <col min="5" max="5" width="8.2109375" style="40" bestFit="1" customWidth="1"/>
    <col min="6" max="6" width="8.640625" style="3" customWidth="1"/>
    <col min="7" max="7" width="7.5" style="3" bestFit="1" customWidth="1"/>
    <col min="8" max="16" width="8.640625" style="2" customWidth="1"/>
    <col min="17" max="235" width="9" style="1"/>
    <col min="236" max="236" width="6.85546875" style="1" customWidth="1"/>
    <col min="237" max="237" width="13.140625" style="1" bestFit="1" customWidth="1"/>
    <col min="238" max="238" width="6.35546875" style="1" bestFit="1" customWidth="1"/>
    <col min="239" max="239" width="9.35546875" style="1" bestFit="1" customWidth="1"/>
    <col min="240" max="252" width="8.640625" style="1" customWidth="1"/>
    <col min="253" max="253" width="10.640625" style="1" customWidth="1"/>
    <col min="254" max="491" width="9" style="1"/>
    <col min="492" max="492" width="6.85546875" style="1" customWidth="1"/>
    <col min="493" max="493" width="13.140625" style="1" bestFit="1" customWidth="1"/>
    <col min="494" max="494" width="6.35546875" style="1" bestFit="1" customWidth="1"/>
    <col min="495" max="495" width="9.35546875" style="1" bestFit="1" customWidth="1"/>
    <col min="496" max="508" width="8.640625" style="1" customWidth="1"/>
    <col min="509" max="509" width="10.640625" style="1" customWidth="1"/>
    <col min="510" max="747" width="9" style="1"/>
    <col min="748" max="748" width="6.85546875" style="1" customWidth="1"/>
    <col min="749" max="749" width="13.140625" style="1" bestFit="1" customWidth="1"/>
    <col min="750" max="750" width="6.35546875" style="1" bestFit="1" customWidth="1"/>
    <col min="751" max="751" width="9.35546875" style="1" bestFit="1" customWidth="1"/>
    <col min="752" max="764" width="8.640625" style="1" customWidth="1"/>
    <col min="765" max="765" width="10.640625" style="1" customWidth="1"/>
    <col min="766" max="1003" width="9" style="1"/>
    <col min="1004" max="1004" width="6.85546875" style="1" customWidth="1"/>
    <col min="1005" max="1005" width="13.140625" style="1" bestFit="1" customWidth="1"/>
    <col min="1006" max="1006" width="6.35546875" style="1" bestFit="1" customWidth="1"/>
    <col min="1007" max="1007" width="9.35546875" style="1" bestFit="1" customWidth="1"/>
    <col min="1008" max="1020" width="8.640625" style="1" customWidth="1"/>
    <col min="1021" max="1021" width="10.640625" style="1" customWidth="1"/>
    <col min="1022" max="1259" width="9" style="1"/>
    <col min="1260" max="1260" width="6.85546875" style="1" customWidth="1"/>
    <col min="1261" max="1261" width="13.140625" style="1" bestFit="1" customWidth="1"/>
    <col min="1262" max="1262" width="6.35546875" style="1" bestFit="1" customWidth="1"/>
    <col min="1263" max="1263" width="9.35546875" style="1" bestFit="1" customWidth="1"/>
    <col min="1264" max="1276" width="8.640625" style="1" customWidth="1"/>
    <col min="1277" max="1277" width="10.640625" style="1" customWidth="1"/>
    <col min="1278" max="1515" width="9" style="1"/>
    <col min="1516" max="1516" width="6.85546875" style="1" customWidth="1"/>
    <col min="1517" max="1517" width="13.140625" style="1" bestFit="1" customWidth="1"/>
    <col min="1518" max="1518" width="6.35546875" style="1" bestFit="1" customWidth="1"/>
    <col min="1519" max="1519" width="9.35546875" style="1" bestFit="1" customWidth="1"/>
    <col min="1520" max="1532" width="8.640625" style="1" customWidth="1"/>
    <col min="1533" max="1533" width="10.640625" style="1" customWidth="1"/>
    <col min="1534" max="1771" width="9" style="1"/>
    <col min="1772" max="1772" width="6.85546875" style="1" customWidth="1"/>
    <col min="1773" max="1773" width="13.140625" style="1" bestFit="1" customWidth="1"/>
    <col min="1774" max="1774" width="6.35546875" style="1" bestFit="1" customWidth="1"/>
    <col min="1775" max="1775" width="9.35546875" style="1" bestFit="1" customWidth="1"/>
    <col min="1776" max="1788" width="8.640625" style="1" customWidth="1"/>
    <col min="1789" max="1789" width="10.640625" style="1" customWidth="1"/>
    <col min="1790" max="2027" width="9" style="1"/>
    <col min="2028" max="2028" width="6.85546875" style="1" customWidth="1"/>
    <col min="2029" max="2029" width="13.140625" style="1" bestFit="1" customWidth="1"/>
    <col min="2030" max="2030" width="6.35546875" style="1" bestFit="1" customWidth="1"/>
    <col min="2031" max="2031" width="9.35546875" style="1" bestFit="1" customWidth="1"/>
    <col min="2032" max="2044" width="8.640625" style="1" customWidth="1"/>
    <col min="2045" max="2045" width="10.640625" style="1" customWidth="1"/>
    <col min="2046" max="2283" width="9" style="1"/>
    <col min="2284" max="2284" width="6.85546875" style="1" customWidth="1"/>
    <col min="2285" max="2285" width="13.140625" style="1" bestFit="1" customWidth="1"/>
    <col min="2286" max="2286" width="6.35546875" style="1" bestFit="1" customWidth="1"/>
    <col min="2287" max="2287" width="9.35546875" style="1" bestFit="1" customWidth="1"/>
    <col min="2288" max="2300" width="8.640625" style="1" customWidth="1"/>
    <col min="2301" max="2301" width="10.640625" style="1" customWidth="1"/>
    <col min="2302" max="2539" width="9" style="1"/>
    <col min="2540" max="2540" width="6.85546875" style="1" customWidth="1"/>
    <col min="2541" max="2541" width="13.140625" style="1" bestFit="1" customWidth="1"/>
    <col min="2542" max="2542" width="6.35546875" style="1" bestFit="1" customWidth="1"/>
    <col min="2543" max="2543" width="9.35546875" style="1" bestFit="1" customWidth="1"/>
    <col min="2544" max="2556" width="8.640625" style="1" customWidth="1"/>
    <col min="2557" max="2557" width="10.640625" style="1" customWidth="1"/>
    <col min="2558" max="2795" width="9" style="1"/>
    <col min="2796" max="2796" width="6.85546875" style="1" customWidth="1"/>
    <col min="2797" max="2797" width="13.140625" style="1" bestFit="1" customWidth="1"/>
    <col min="2798" max="2798" width="6.35546875" style="1" bestFit="1" customWidth="1"/>
    <col min="2799" max="2799" width="9.35546875" style="1" bestFit="1" customWidth="1"/>
    <col min="2800" max="2812" width="8.640625" style="1" customWidth="1"/>
    <col min="2813" max="2813" width="10.640625" style="1" customWidth="1"/>
    <col min="2814" max="3051" width="9" style="1"/>
    <col min="3052" max="3052" width="6.85546875" style="1" customWidth="1"/>
    <col min="3053" max="3053" width="13.140625" style="1" bestFit="1" customWidth="1"/>
    <col min="3054" max="3054" width="6.35546875" style="1" bestFit="1" customWidth="1"/>
    <col min="3055" max="3055" width="9.35546875" style="1" bestFit="1" customWidth="1"/>
    <col min="3056" max="3068" width="8.640625" style="1" customWidth="1"/>
    <col min="3069" max="3069" width="10.640625" style="1" customWidth="1"/>
    <col min="3070" max="3307" width="9" style="1"/>
    <col min="3308" max="3308" width="6.85546875" style="1" customWidth="1"/>
    <col min="3309" max="3309" width="13.140625" style="1" bestFit="1" customWidth="1"/>
    <col min="3310" max="3310" width="6.35546875" style="1" bestFit="1" customWidth="1"/>
    <col min="3311" max="3311" width="9.35546875" style="1" bestFit="1" customWidth="1"/>
    <col min="3312" max="3324" width="8.640625" style="1" customWidth="1"/>
    <col min="3325" max="3325" width="10.640625" style="1" customWidth="1"/>
    <col min="3326" max="3563" width="9" style="1"/>
    <col min="3564" max="3564" width="6.85546875" style="1" customWidth="1"/>
    <col min="3565" max="3565" width="13.140625" style="1" bestFit="1" customWidth="1"/>
    <col min="3566" max="3566" width="6.35546875" style="1" bestFit="1" customWidth="1"/>
    <col min="3567" max="3567" width="9.35546875" style="1" bestFit="1" customWidth="1"/>
    <col min="3568" max="3580" width="8.640625" style="1" customWidth="1"/>
    <col min="3581" max="3581" width="10.640625" style="1" customWidth="1"/>
    <col min="3582" max="3819" width="9" style="1"/>
    <col min="3820" max="3820" width="6.85546875" style="1" customWidth="1"/>
    <col min="3821" max="3821" width="13.140625" style="1" bestFit="1" customWidth="1"/>
    <col min="3822" max="3822" width="6.35546875" style="1" bestFit="1" customWidth="1"/>
    <col min="3823" max="3823" width="9.35546875" style="1" bestFit="1" customWidth="1"/>
    <col min="3824" max="3836" width="8.640625" style="1" customWidth="1"/>
    <col min="3837" max="3837" width="10.640625" style="1" customWidth="1"/>
    <col min="3838" max="4075" width="9" style="1"/>
    <col min="4076" max="4076" width="6.85546875" style="1" customWidth="1"/>
    <col min="4077" max="4077" width="13.140625" style="1" bestFit="1" customWidth="1"/>
    <col min="4078" max="4078" width="6.35546875" style="1" bestFit="1" customWidth="1"/>
    <col min="4079" max="4079" width="9.35546875" style="1" bestFit="1" customWidth="1"/>
    <col min="4080" max="4092" width="8.640625" style="1" customWidth="1"/>
    <col min="4093" max="4093" width="10.640625" style="1" customWidth="1"/>
    <col min="4094" max="4331" width="9" style="1"/>
    <col min="4332" max="4332" width="6.85546875" style="1" customWidth="1"/>
    <col min="4333" max="4333" width="13.140625" style="1" bestFit="1" customWidth="1"/>
    <col min="4334" max="4334" width="6.35546875" style="1" bestFit="1" customWidth="1"/>
    <col min="4335" max="4335" width="9.35546875" style="1" bestFit="1" customWidth="1"/>
    <col min="4336" max="4348" width="8.640625" style="1" customWidth="1"/>
    <col min="4349" max="4349" width="10.640625" style="1" customWidth="1"/>
    <col min="4350" max="4587" width="9" style="1"/>
    <col min="4588" max="4588" width="6.85546875" style="1" customWidth="1"/>
    <col min="4589" max="4589" width="13.140625" style="1" bestFit="1" customWidth="1"/>
    <col min="4590" max="4590" width="6.35546875" style="1" bestFit="1" customWidth="1"/>
    <col min="4591" max="4591" width="9.35546875" style="1" bestFit="1" customWidth="1"/>
    <col min="4592" max="4604" width="8.640625" style="1" customWidth="1"/>
    <col min="4605" max="4605" width="10.640625" style="1" customWidth="1"/>
    <col min="4606" max="4843" width="9" style="1"/>
    <col min="4844" max="4844" width="6.85546875" style="1" customWidth="1"/>
    <col min="4845" max="4845" width="13.140625" style="1" bestFit="1" customWidth="1"/>
    <col min="4846" max="4846" width="6.35546875" style="1" bestFit="1" customWidth="1"/>
    <col min="4847" max="4847" width="9.35546875" style="1" bestFit="1" customWidth="1"/>
    <col min="4848" max="4860" width="8.640625" style="1" customWidth="1"/>
    <col min="4861" max="4861" width="10.640625" style="1" customWidth="1"/>
    <col min="4862" max="5099" width="9" style="1"/>
    <col min="5100" max="5100" width="6.85546875" style="1" customWidth="1"/>
    <col min="5101" max="5101" width="13.140625" style="1" bestFit="1" customWidth="1"/>
    <col min="5102" max="5102" width="6.35546875" style="1" bestFit="1" customWidth="1"/>
    <col min="5103" max="5103" width="9.35546875" style="1" bestFit="1" customWidth="1"/>
    <col min="5104" max="5116" width="8.640625" style="1" customWidth="1"/>
    <col min="5117" max="5117" width="10.640625" style="1" customWidth="1"/>
    <col min="5118" max="5355" width="9" style="1"/>
    <col min="5356" max="5356" width="6.85546875" style="1" customWidth="1"/>
    <col min="5357" max="5357" width="13.140625" style="1" bestFit="1" customWidth="1"/>
    <col min="5358" max="5358" width="6.35546875" style="1" bestFit="1" customWidth="1"/>
    <col min="5359" max="5359" width="9.35546875" style="1" bestFit="1" customWidth="1"/>
    <col min="5360" max="5372" width="8.640625" style="1" customWidth="1"/>
    <col min="5373" max="5373" width="10.640625" style="1" customWidth="1"/>
    <col min="5374" max="5611" width="9" style="1"/>
    <col min="5612" max="5612" width="6.85546875" style="1" customWidth="1"/>
    <col min="5613" max="5613" width="13.140625" style="1" bestFit="1" customWidth="1"/>
    <col min="5614" max="5614" width="6.35546875" style="1" bestFit="1" customWidth="1"/>
    <col min="5615" max="5615" width="9.35546875" style="1" bestFit="1" customWidth="1"/>
    <col min="5616" max="5628" width="8.640625" style="1" customWidth="1"/>
    <col min="5629" max="5629" width="10.640625" style="1" customWidth="1"/>
    <col min="5630" max="5867" width="9" style="1"/>
    <col min="5868" max="5868" width="6.85546875" style="1" customWidth="1"/>
    <col min="5869" max="5869" width="13.140625" style="1" bestFit="1" customWidth="1"/>
    <col min="5870" max="5870" width="6.35546875" style="1" bestFit="1" customWidth="1"/>
    <col min="5871" max="5871" width="9.35546875" style="1" bestFit="1" customWidth="1"/>
    <col min="5872" max="5884" width="8.640625" style="1" customWidth="1"/>
    <col min="5885" max="5885" width="10.640625" style="1" customWidth="1"/>
    <col min="5886" max="6123" width="9" style="1"/>
    <col min="6124" max="6124" width="6.85546875" style="1" customWidth="1"/>
    <col min="6125" max="6125" width="13.140625" style="1" bestFit="1" customWidth="1"/>
    <col min="6126" max="6126" width="6.35546875" style="1" bestFit="1" customWidth="1"/>
    <col min="6127" max="6127" width="9.35546875" style="1" bestFit="1" customWidth="1"/>
    <col min="6128" max="6140" width="8.640625" style="1" customWidth="1"/>
    <col min="6141" max="6141" width="10.640625" style="1" customWidth="1"/>
    <col min="6142" max="6379" width="9" style="1"/>
    <col min="6380" max="6380" width="6.85546875" style="1" customWidth="1"/>
    <col min="6381" max="6381" width="13.140625" style="1" bestFit="1" customWidth="1"/>
    <col min="6382" max="6382" width="6.35546875" style="1" bestFit="1" customWidth="1"/>
    <col min="6383" max="6383" width="9.35546875" style="1" bestFit="1" customWidth="1"/>
    <col min="6384" max="6396" width="8.640625" style="1" customWidth="1"/>
    <col min="6397" max="6397" width="10.640625" style="1" customWidth="1"/>
    <col min="6398" max="6635" width="9" style="1"/>
    <col min="6636" max="6636" width="6.85546875" style="1" customWidth="1"/>
    <col min="6637" max="6637" width="13.140625" style="1" bestFit="1" customWidth="1"/>
    <col min="6638" max="6638" width="6.35546875" style="1" bestFit="1" customWidth="1"/>
    <col min="6639" max="6639" width="9.35546875" style="1" bestFit="1" customWidth="1"/>
    <col min="6640" max="6652" width="8.640625" style="1" customWidth="1"/>
    <col min="6653" max="6653" width="10.640625" style="1" customWidth="1"/>
    <col min="6654" max="6891" width="9" style="1"/>
    <col min="6892" max="6892" width="6.85546875" style="1" customWidth="1"/>
    <col min="6893" max="6893" width="13.140625" style="1" bestFit="1" customWidth="1"/>
    <col min="6894" max="6894" width="6.35546875" style="1" bestFit="1" customWidth="1"/>
    <col min="6895" max="6895" width="9.35546875" style="1" bestFit="1" customWidth="1"/>
    <col min="6896" max="6908" width="8.640625" style="1" customWidth="1"/>
    <col min="6909" max="6909" width="10.640625" style="1" customWidth="1"/>
    <col min="6910" max="7147" width="9" style="1"/>
    <col min="7148" max="7148" width="6.85546875" style="1" customWidth="1"/>
    <col min="7149" max="7149" width="13.140625" style="1" bestFit="1" customWidth="1"/>
    <col min="7150" max="7150" width="6.35546875" style="1" bestFit="1" customWidth="1"/>
    <col min="7151" max="7151" width="9.35546875" style="1" bestFit="1" customWidth="1"/>
    <col min="7152" max="7164" width="8.640625" style="1" customWidth="1"/>
    <col min="7165" max="7165" width="10.640625" style="1" customWidth="1"/>
    <col min="7166" max="7403" width="9" style="1"/>
    <col min="7404" max="7404" width="6.85546875" style="1" customWidth="1"/>
    <col min="7405" max="7405" width="13.140625" style="1" bestFit="1" customWidth="1"/>
    <col min="7406" max="7406" width="6.35546875" style="1" bestFit="1" customWidth="1"/>
    <col min="7407" max="7407" width="9.35546875" style="1" bestFit="1" customWidth="1"/>
    <col min="7408" max="7420" width="8.640625" style="1" customWidth="1"/>
    <col min="7421" max="7421" width="10.640625" style="1" customWidth="1"/>
    <col min="7422" max="7659" width="9" style="1"/>
    <col min="7660" max="7660" width="6.85546875" style="1" customWidth="1"/>
    <col min="7661" max="7661" width="13.140625" style="1" bestFit="1" customWidth="1"/>
    <col min="7662" max="7662" width="6.35546875" style="1" bestFit="1" customWidth="1"/>
    <col min="7663" max="7663" width="9.35546875" style="1" bestFit="1" customWidth="1"/>
    <col min="7664" max="7676" width="8.640625" style="1" customWidth="1"/>
    <col min="7677" max="7677" width="10.640625" style="1" customWidth="1"/>
    <col min="7678" max="7915" width="9" style="1"/>
    <col min="7916" max="7916" width="6.85546875" style="1" customWidth="1"/>
    <col min="7917" max="7917" width="13.140625" style="1" bestFit="1" customWidth="1"/>
    <col min="7918" max="7918" width="6.35546875" style="1" bestFit="1" customWidth="1"/>
    <col min="7919" max="7919" width="9.35546875" style="1" bestFit="1" customWidth="1"/>
    <col min="7920" max="7932" width="8.640625" style="1" customWidth="1"/>
    <col min="7933" max="7933" width="10.640625" style="1" customWidth="1"/>
    <col min="7934" max="8171" width="9" style="1"/>
    <col min="8172" max="8172" width="6.85546875" style="1" customWidth="1"/>
    <col min="8173" max="8173" width="13.140625" style="1" bestFit="1" customWidth="1"/>
    <col min="8174" max="8174" width="6.35546875" style="1" bestFit="1" customWidth="1"/>
    <col min="8175" max="8175" width="9.35546875" style="1" bestFit="1" customWidth="1"/>
    <col min="8176" max="8188" width="8.640625" style="1" customWidth="1"/>
    <col min="8189" max="8189" width="10.640625" style="1" customWidth="1"/>
    <col min="8190" max="8427" width="9" style="1"/>
    <col min="8428" max="8428" width="6.85546875" style="1" customWidth="1"/>
    <col min="8429" max="8429" width="13.140625" style="1" bestFit="1" customWidth="1"/>
    <col min="8430" max="8430" width="6.35546875" style="1" bestFit="1" customWidth="1"/>
    <col min="8431" max="8431" width="9.35546875" style="1" bestFit="1" customWidth="1"/>
    <col min="8432" max="8444" width="8.640625" style="1" customWidth="1"/>
    <col min="8445" max="8445" width="10.640625" style="1" customWidth="1"/>
    <col min="8446" max="8683" width="9" style="1"/>
    <col min="8684" max="8684" width="6.85546875" style="1" customWidth="1"/>
    <col min="8685" max="8685" width="13.140625" style="1" bestFit="1" customWidth="1"/>
    <col min="8686" max="8686" width="6.35546875" style="1" bestFit="1" customWidth="1"/>
    <col min="8687" max="8687" width="9.35546875" style="1" bestFit="1" customWidth="1"/>
    <col min="8688" max="8700" width="8.640625" style="1" customWidth="1"/>
    <col min="8701" max="8701" width="10.640625" style="1" customWidth="1"/>
    <col min="8702" max="8939" width="9" style="1"/>
    <col min="8940" max="8940" width="6.85546875" style="1" customWidth="1"/>
    <col min="8941" max="8941" width="13.140625" style="1" bestFit="1" customWidth="1"/>
    <col min="8942" max="8942" width="6.35546875" style="1" bestFit="1" customWidth="1"/>
    <col min="8943" max="8943" width="9.35546875" style="1" bestFit="1" customWidth="1"/>
    <col min="8944" max="8956" width="8.640625" style="1" customWidth="1"/>
    <col min="8957" max="8957" width="10.640625" style="1" customWidth="1"/>
    <col min="8958" max="9195" width="9" style="1"/>
    <col min="9196" max="9196" width="6.85546875" style="1" customWidth="1"/>
    <col min="9197" max="9197" width="13.140625" style="1" bestFit="1" customWidth="1"/>
    <col min="9198" max="9198" width="6.35546875" style="1" bestFit="1" customWidth="1"/>
    <col min="9199" max="9199" width="9.35546875" style="1" bestFit="1" customWidth="1"/>
    <col min="9200" max="9212" width="8.640625" style="1" customWidth="1"/>
    <col min="9213" max="9213" width="10.640625" style="1" customWidth="1"/>
    <col min="9214" max="9451" width="9" style="1"/>
    <col min="9452" max="9452" width="6.85546875" style="1" customWidth="1"/>
    <col min="9453" max="9453" width="13.140625" style="1" bestFit="1" customWidth="1"/>
    <col min="9454" max="9454" width="6.35546875" style="1" bestFit="1" customWidth="1"/>
    <col min="9455" max="9455" width="9.35546875" style="1" bestFit="1" customWidth="1"/>
    <col min="9456" max="9468" width="8.640625" style="1" customWidth="1"/>
    <col min="9469" max="9469" width="10.640625" style="1" customWidth="1"/>
    <col min="9470" max="9707" width="9" style="1"/>
    <col min="9708" max="9708" width="6.85546875" style="1" customWidth="1"/>
    <col min="9709" max="9709" width="13.140625" style="1" bestFit="1" customWidth="1"/>
    <col min="9710" max="9710" width="6.35546875" style="1" bestFit="1" customWidth="1"/>
    <col min="9711" max="9711" width="9.35546875" style="1" bestFit="1" customWidth="1"/>
    <col min="9712" max="9724" width="8.640625" style="1" customWidth="1"/>
    <col min="9725" max="9725" width="10.640625" style="1" customWidth="1"/>
    <col min="9726" max="9963" width="9" style="1"/>
    <col min="9964" max="9964" width="6.85546875" style="1" customWidth="1"/>
    <col min="9965" max="9965" width="13.140625" style="1" bestFit="1" customWidth="1"/>
    <col min="9966" max="9966" width="6.35546875" style="1" bestFit="1" customWidth="1"/>
    <col min="9967" max="9967" width="9.35546875" style="1" bestFit="1" customWidth="1"/>
    <col min="9968" max="9980" width="8.640625" style="1" customWidth="1"/>
    <col min="9981" max="9981" width="10.640625" style="1" customWidth="1"/>
    <col min="9982" max="10219" width="9" style="1"/>
    <col min="10220" max="10220" width="6.85546875" style="1" customWidth="1"/>
    <col min="10221" max="10221" width="13.140625" style="1" bestFit="1" customWidth="1"/>
    <col min="10222" max="10222" width="6.35546875" style="1" bestFit="1" customWidth="1"/>
    <col min="10223" max="10223" width="9.35546875" style="1" bestFit="1" customWidth="1"/>
    <col min="10224" max="10236" width="8.640625" style="1" customWidth="1"/>
    <col min="10237" max="10237" width="10.640625" style="1" customWidth="1"/>
    <col min="10238" max="10475" width="9" style="1"/>
    <col min="10476" max="10476" width="6.85546875" style="1" customWidth="1"/>
    <col min="10477" max="10477" width="13.140625" style="1" bestFit="1" customWidth="1"/>
    <col min="10478" max="10478" width="6.35546875" style="1" bestFit="1" customWidth="1"/>
    <col min="10479" max="10479" width="9.35546875" style="1" bestFit="1" customWidth="1"/>
    <col min="10480" max="10492" width="8.640625" style="1" customWidth="1"/>
    <col min="10493" max="10493" width="10.640625" style="1" customWidth="1"/>
    <col min="10494" max="10731" width="9" style="1"/>
    <col min="10732" max="10732" width="6.85546875" style="1" customWidth="1"/>
    <col min="10733" max="10733" width="13.140625" style="1" bestFit="1" customWidth="1"/>
    <col min="10734" max="10734" width="6.35546875" style="1" bestFit="1" customWidth="1"/>
    <col min="10735" max="10735" width="9.35546875" style="1" bestFit="1" customWidth="1"/>
    <col min="10736" max="10748" width="8.640625" style="1" customWidth="1"/>
    <col min="10749" max="10749" width="10.640625" style="1" customWidth="1"/>
    <col min="10750" max="10987" width="9" style="1"/>
    <col min="10988" max="10988" width="6.85546875" style="1" customWidth="1"/>
    <col min="10989" max="10989" width="13.140625" style="1" bestFit="1" customWidth="1"/>
    <col min="10990" max="10990" width="6.35546875" style="1" bestFit="1" customWidth="1"/>
    <col min="10991" max="10991" width="9.35546875" style="1" bestFit="1" customWidth="1"/>
    <col min="10992" max="11004" width="8.640625" style="1" customWidth="1"/>
    <col min="11005" max="11005" width="10.640625" style="1" customWidth="1"/>
    <col min="11006" max="11243" width="9" style="1"/>
    <col min="11244" max="11244" width="6.85546875" style="1" customWidth="1"/>
    <col min="11245" max="11245" width="13.140625" style="1" bestFit="1" customWidth="1"/>
    <col min="11246" max="11246" width="6.35546875" style="1" bestFit="1" customWidth="1"/>
    <col min="11247" max="11247" width="9.35546875" style="1" bestFit="1" customWidth="1"/>
    <col min="11248" max="11260" width="8.640625" style="1" customWidth="1"/>
    <col min="11261" max="11261" width="10.640625" style="1" customWidth="1"/>
    <col min="11262" max="11499" width="9" style="1"/>
    <col min="11500" max="11500" width="6.85546875" style="1" customWidth="1"/>
    <col min="11501" max="11501" width="13.140625" style="1" bestFit="1" customWidth="1"/>
    <col min="11502" max="11502" width="6.35546875" style="1" bestFit="1" customWidth="1"/>
    <col min="11503" max="11503" width="9.35546875" style="1" bestFit="1" customWidth="1"/>
    <col min="11504" max="11516" width="8.640625" style="1" customWidth="1"/>
    <col min="11517" max="11517" width="10.640625" style="1" customWidth="1"/>
    <col min="11518" max="11755" width="9" style="1"/>
    <col min="11756" max="11756" width="6.85546875" style="1" customWidth="1"/>
    <col min="11757" max="11757" width="13.140625" style="1" bestFit="1" customWidth="1"/>
    <col min="11758" max="11758" width="6.35546875" style="1" bestFit="1" customWidth="1"/>
    <col min="11759" max="11759" width="9.35546875" style="1" bestFit="1" customWidth="1"/>
    <col min="11760" max="11772" width="8.640625" style="1" customWidth="1"/>
    <col min="11773" max="11773" width="10.640625" style="1" customWidth="1"/>
    <col min="11774" max="12011" width="9" style="1"/>
    <col min="12012" max="12012" width="6.85546875" style="1" customWidth="1"/>
    <col min="12013" max="12013" width="13.140625" style="1" bestFit="1" customWidth="1"/>
    <col min="12014" max="12014" width="6.35546875" style="1" bestFit="1" customWidth="1"/>
    <col min="12015" max="12015" width="9.35546875" style="1" bestFit="1" customWidth="1"/>
    <col min="12016" max="12028" width="8.640625" style="1" customWidth="1"/>
    <col min="12029" max="12029" width="10.640625" style="1" customWidth="1"/>
    <col min="12030" max="12267" width="9" style="1"/>
    <col min="12268" max="12268" width="6.85546875" style="1" customWidth="1"/>
    <col min="12269" max="12269" width="13.140625" style="1" bestFit="1" customWidth="1"/>
    <col min="12270" max="12270" width="6.35546875" style="1" bestFit="1" customWidth="1"/>
    <col min="12271" max="12271" width="9.35546875" style="1" bestFit="1" customWidth="1"/>
    <col min="12272" max="12284" width="8.640625" style="1" customWidth="1"/>
    <col min="12285" max="12285" width="10.640625" style="1" customWidth="1"/>
    <col min="12286" max="12523" width="9" style="1"/>
    <col min="12524" max="12524" width="6.85546875" style="1" customWidth="1"/>
    <col min="12525" max="12525" width="13.140625" style="1" bestFit="1" customWidth="1"/>
    <col min="12526" max="12526" width="6.35546875" style="1" bestFit="1" customWidth="1"/>
    <col min="12527" max="12527" width="9.35546875" style="1" bestFit="1" customWidth="1"/>
    <col min="12528" max="12540" width="8.640625" style="1" customWidth="1"/>
    <col min="12541" max="12541" width="10.640625" style="1" customWidth="1"/>
    <col min="12542" max="12779" width="9" style="1"/>
    <col min="12780" max="12780" width="6.85546875" style="1" customWidth="1"/>
    <col min="12781" max="12781" width="13.140625" style="1" bestFit="1" customWidth="1"/>
    <col min="12782" max="12782" width="6.35546875" style="1" bestFit="1" customWidth="1"/>
    <col min="12783" max="12783" width="9.35546875" style="1" bestFit="1" customWidth="1"/>
    <col min="12784" max="12796" width="8.640625" style="1" customWidth="1"/>
    <col min="12797" max="12797" width="10.640625" style="1" customWidth="1"/>
    <col min="12798" max="13035" width="9" style="1"/>
    <col min="13036" max="13036" width="6.85546875" style="1" customWidth="1"/>
    <col min="13037" max="13037" width="13.140625" style="1" bestFit="1" customWidth="1"/>
    <col min="13038" max="13038" width="6.35546875" style="1" bestFit="1" customWidth="1"/>
    <col min="13039" max="13039" width="9.35546875" style="1" bestFit="1" customWidth="1"/>
    <col min="13040" max="13052" width="8.640625" style="1" customWidth="1"/>
    <col min="13053" max="13053" width="10.640625" style="1" customWidth="1"/>
    <col min="13054" max="13291" width="9" style="1"/>
    <col min="13292" max="13292" width="6.85546875" style="1" customWidth="1"/>
    <col min="13293" max="13293" width="13.140625" style="1" bestFit="1" customWidth="1"/>
    <col min="13294" max="13294" width="6.35546875" style="1" bestFit="1" customWidth="1"/>
    <col min="13295" max="13295" width="9.35546875" style="1" bestFit="1" customWidth="1"/>
    <col min="13296" max="13308" width="8.640625" style="1" customWidth="1"/>
    <col min="13309" max="13309" width="10.640625" style="1" customWidth="1"/>
    <col min="13310" max="13547" width="9" style="1"/>
    <col min="13548" max="13548" width="6.85546875" style="1" customWidth="1"/>
    <col min="13549" max="13549" width="13.140625" style="1" bestFit="1" customWidth="1"/>
    <col min="13550" max="13550" width="6.35546875" style="1" bestFit="1" customWidth="1"/>
    <col min="13551" max="13551" width="9.35546875" style="1" bestFit="1" customWidth="1"/>
    <col min="13552" max="13564" width="8.640625" style="1" customWidth="1"/>
    <col min="13565" max="13565" width="10.640625" style="1" customWidth="1"/>
    <col min="13566" max="13803" width="9" style="1"/>
    <col min="13804" max="13804" width="6.85546875" style="1" customWidth="1"/>
    <col min="13805" max="13805" width="13.140625" style="1" bestFit="1" customWidth="1"/>
    <col min="13806" max="13806" width="6.35546875" style="1" bestFit="1" customWidth="1"/>
    <col min="13807" max="13807" width="9.35546875" style="1" bestFit="1" customWidth="1"/>
    <col min="13808" max="13820" width="8.640625" style="1" customWidth="1"/>
    <col min="13821" max="13821" width="10.640625" style="1" customWidth="1"/>
    <col min="13822" max="14059" width="9" style="1"/>
    <col min="14060" max="14060" width="6.85546875" style="1" customWidth="1"/>
    <col min="14061" max="14061" width="13.140625" style="1" bestFit="1" customWidth="1"/>
    <col min="14062" max="14062" width="6.35546875" style="1" bestFit="1" customWidth="1"/>
    <col min="14063" max="14063" width="9.35546875" style="1" bestFit="1" customWidth="1"/>
    <col min="14064" max="14076" width="8.640625" style="1" customWidth="1"/>
    <col min="14077" max="14077" width="10.640625" style="1" customWidth="1"/>
    <col min="14078" max="14315" width="9" style="1"/>
    <col min="14316" max="14316" width="6.85546875" style="1" customWidth="1"/>
    <col min="14317" max="14317" width="13.140625" style="1" bestFit="1" customWidth="1"/>
    <col min="14318" max="14318" width="6.35546875" style="1" bestFit="1" customWidth="1"/>
    <col min="14319" max="14319" width="9.35546875" style="1" bestFit="1" customWidth="1"/>
    <col min="14320" max="14332" width="8.640625" style="1" customWidth="1"/>
    <col min="14333" max="14333" width="10.640625" style="1" customWidth="1"/>
    <col min="14334" max="14571" width="9" style="1"/>
    <col min="14572" max="14572" width="6.85546875" style="1" customWidth="1"/>
    <col min="14573" max="14573" width="13.140625" style="1" bestFit="1" customWidth="1"/>
    <col min="14574" max="14574" width="6.35546875" style="1" bestFit="1" customWidth="1"/>
    <col min="14575" max="14575" width="9.35546875" style="1" bestFit="1" customWidth="1"/>
    <col min="14576" max="14588" width="8.640625" style="1" customWidth="1"/>
    <col min="14589" max="14589" width="10.640625" style="1" customWidth="1"/>
    <col min="14590" max="14827" width="9" style="1"/>
    <col min="14828" max="14828" width="6.85546875" style="1" customWidth="1"/>
    <col min="14829" max="14829" width="13.140625" style="1" bestFit="1" customWidth="1"/>
    <col min="14830" max="14830" width="6.35546875" style="1" bestFit="1" customWidth="1"/>
    <col min="14831" max="14831" width="9.35546875" style="1" bestFit="1" customWidth="1"/>
    <col min="14832" max="14844" width="8.640625" style="1" customWidth="1"/>
    <col min="14845" max="14845" width="10.640625" style="1" customWidth="1"/>
    <col min="14846" max="15083" width="9" style="1"/>
    <col min="15084" max="15084" width="6.85546875" style="1" customWidth="1"/>
    <col min="15085" max="15085" width="13.140625" style="1" bestFit="1" customWidth="1"/>
    <col min="15086" max="15086" width="6.35546875" style="1" bestFit="1" customWidth="1"/>
    <col min="15087" max="15087" width="9.35546875" style="1" bestFit="1" customWidth="1"/>
    <col min="15088" max="15100" width="8.640625" style="1" customWidth="1"/>
    <col min="15101" max="15101" width="10.640625" style="1" customWidth="1"/>
    <col min="15102" max="15339" width="9" style="1"/>
    <col min="15340" max="15340" width="6.85546875" style="1" customWidth="1"/>
    <col min="15341" max="15341" width="13.140625" style="1" bestFit="1" customWidth="1"/>
    <col min="15342" max="15342" width="6.35546875" style="1" bestFit="1" customWidth="1"/>
    <col min="15343" max="15343" width="9.35546875" style="1" bestFit="1" customWidth="1"/>
    <col min="15344" max="15356" width="8.640625" style="1" customWidth="1"/>
    <col min="15357" max="15357" width="10.640625" style="1" customWidth="1"/>
    <col min="15358" max="15595" width="9" style="1"/>
    <col min="15596" max="15596" width="6.85546875" style="1" customWidth="1"/>
    <col min="15597" max="15597" width="13.140625" style="1" bestFit="1" customWidth="1"/>
    <col min="15598" max="15598" width="6.35546875" style="1" bestFit="1" customWidth="1"/>
    <col min="15599" max="15599" width="9.35546875" style="1" bestFit="1" customWidth="1"/>
    <col min="15600" max="15612" width="8.640625" style="1" customWidth="1"/>
    <col min="15613" max="15613" width="10.640625" style="1" customWidth="1"/>
    <col min="15614" max="15851" width="9" style="1"/>
    <col min="15852" max="15852" width="6.85546875" style="1" customWidth="1"/>
    <col min="15853" max="15853" width="13.140625" style="1" bestFit="1" customWidth="1"/>
    <col min="15854" max="15854" width="6.35546875" style="1" bestFit="1" customWidth="1"/>
    <col min="15855" max="15855" width="9.35546875" style="1" bestFit="1" customWidth="1"/>
    <col min="15856" max="15868" width="8.640625" style="1" customWidth="1"/>
    <col min="15869" max="15869" width="10.640625" style="1" customWidth="1"/>
    <col min="15870" max="16107" width="9" style="1"/>
    <col min="16108" max="16108" width="6.85546875" style="1" customWidth="1"/>
    <col min="16109" max="16109" width="13.140625" style="1" bestFit="1" customWidth="1"/>
    <col min="16110" max="16110" width="6.35546875" style="1" bestFit="1" customWidth="1"/>
    <col min="16111" max="16111" width="9.35546875" style="1" bestFit="1" customWidth="1"/>
    <col min="16112" max="16124" width="8.640625" style="1" customWidth="1"/>
    <col min="16125" max="16125" width="10.640625" style="1" customWidth="1"/>
    <col min="16126" max="16384" width="9" style="1"/>
  </cols>
  <sheetData>
    <row r="1" spans="1:27" ht="28.5" customHeight="1" x14ac:dyDescent="0.55000000000000004">
      <c r="A1" s="46"/>
      <c r="B1" s="46"/>
      <c r="C1" s="46"/>
      <c r="D1" s="46"/>
      <c r="E1" s="46"/>
      <c r="F1" s="46"/>
      <c r="G1" s="49" t="e" vm="1">
        <v>#VALUE!</v>
      </c>
      <c r="H1" s="49"/>
      <c r="I1" s="49"/>
      <c r="J1" s="49"/>
      <c r="K1" s="47" t="s">
        <v>17</v>
      </c>
      <c r="L1" s="15" t="s">
        <v>16</v>
      </c>
      <c r="M1" s="15" t="s">
        <v>15</v>
      </c>
      <c r="N1" s="15" t="s">
        <v>14</v>
      </c>
      <c r="O1" s="15" t="s">
        <v>13</v>
      </c>
      <c r="P1" s="15" t="s">
        <v>12</v>
      </c>
    </row>
    <row r="2" spans="1:27" ht="18" customHeight="1" x14ac:dyDescent="0.55000000000000004">
      <c r="A2" s="48"/>
      <c r="B2" s="48"/>
      <c r="C2" s="48"/>
      <c r="D2" s="48"/>
      <c r="E2" s="48"/>
      <c r="F2" s="48"/>
      <c r="G2" s="49"/>
      <c r="H2" s="49"/>
      <c r="I2" s="49"/>
      <c r="J2" s="49"/>
      <c r="K2" s="47"/>
      <c r="L2" s="50"/>
      <c r="M2" s="50"/>
      <c r="N2" s="50"/>
      <c r="O2" s="50"/>
      <c r="P2" s="50"/>
    </row>
    <row r="3" spans="1:27" ht="18" customHeight="1" x14ac:dyDescent="0.55000000000000004">
      <c r="A3" s="17"/>
      <c r="B3" s="17"/>
      <c r="C3" s="17"/>
      <c r="D3" s="17"/>
      <c r="E3" s="18"/>
      <c r="F3" s="16"/>
      <c r="G3" s="16"/>
      <c r="H3" s="19"/>
      <c r="I3" s="19"/>
      <c r="J3" s="19"/>
      <c r="K3" s="47"/>
      <c r="L3" s="50"/>
      <c r="M3" s="50"/>
      <c r="N3" s="50"/>
      <c r="O3" s="50"/>
      <c r="P3" s="50"/>
    </row>
    <row r="4" spans="1:27" ht="15" customHeight="1" x14ac:dyDescent="0.55000000000000004">
      <c r="A4" s="20" t="s">
        <v>11</v>
      </c>
      <c r="B4" s="20" t="s">
        <v>10</v>
      </c>
      <c r="C4" s="20" t="s">
        <v>9</v>
      </c>
      <c r="D4" s="20" t="s">
        <v>8</v>
      </c>
      <c r="E4" s="21" t="s">
        <v>7</v>
      </c>
      <c r="F4" s="22">
        <v>10</v>
      </c>
      <c r="G4" s="22">
        <v>9</v>
      </c>
      <c r="H4" s="22">
        <v>8</v>
      </c>
      <c r="I4" s="22">
        <v>7</v>
      </c>
      <c r="J4" s="22">
        <v>6</v>
      </c>
      <c r="K4" s="22">
        <v>5</v>
      </c>
      <c r="L4" s="22">
        <v>4</v>
      </c>
      <c r="M4" s="22">
        <v>3.5</v>
      </c>
      <c r="N4" s="22">
        <v>3</v>
      </c>
      <c r="O4" s="22" t="s">
        <v>6</v>
      </c>
      <c r="P4" s="20" t="s">
        <v>5</v>
      </c>
      <c r="V4" s="4"/>
    </row>
    <row r="5" spans="1:27" ht="15" customHeight="1" x14ac:dyDescent="0.55000000000000004">
      <c r="A5" s="43"/>
      <c r="B5" s="44"/>
      <c r="C5" s="44"/>
      <c r="D5" s="23" t="s">
        <v>3</v>
      </c>
      <c r="E5" s="24"/>
      <c r="F5" s="25"/>
      <c r="G5" s="25"/>
      <c r="H5" s="25"/>
      <c r="I5" s="25"/>
      <c r="J5" s="25"/>
      <c r="K5" s="25"/>
      <c r="L5" s="25"/>
      <c r="M5" s="25"/>
      <c r="N5" s="25"/>
      <c r="P5" s="27">
        <f>SUM(F5:N5)</f>
        <v>0</v>
      </c>
      <c r="Q5" s="2"/>
      <c r="R5" s="4"/>
      <c r="S5" s="4"/>
      <c r="T5" s="4"/>
      <c r="U5" s="4"/>
      <c r="V5" s="4"/>
      <c r="W5" s="4"/>
      <c r="Y5" s="4"/>
      <c r="Z5" s="4"/>
    </row>
    <row r="6" spans="1:27" ht="13.5" customHeight="1" x14ac:dyDescent="0.55000000000000004">
      <c r="A6" s="43"/>
      <c r="B6" s="45"/>
      <c r="C6" s="45"/>
      <c r="D6" s="23" t="s">
        <v>2</v>
      </c>
      <c r="E6" s="24"/>
      <c r="F6" s="26"/>
      <c r="G6" s="26"/>
      <c r="H6" s="25"/>
      <c r="I6" s="25"/>
      <c r="J6" s="25"/>
      <c r="K6" s="25"/>
      <c r="L6" s="25"/>
      <c r="M6" s="25"/>
      <c r="N6" s="27"/>
      <c r="O6" s="26"/>
      <c r="P6" s="27">
        <f t="shared" ref="P6:P52" si="0">SUM(F6:O6)</f>
        <v>0</v>
      </c>
      <c r="Q6" s="2"/>
      <c r="R6" s="4"/>
      <c r="S6" s="4"/>
      <c r="T6" s="4"/>
      <c r="U6" s="4"/>
      <c r="V6" s="11"/>
      <c r="W6" s="4"/>
      <c r="Y6" s="4"/>
      <c r="Z6" s="4"/>
    </row>
    <row r="7" spans="1:27" ht="15" customHeight="1" x14ac:dyDescent="0.55000000000000004">
      <c r="A7" s="43"/>
      <c r="B7" s="45"/>
      <c r="C7" s="45"/>
      <c r="D7" s="23" t="s">
        <v>1</v>
      </c>
      <c r="E7" s="24"/>
      <c r="F7" s="26"/>
      <c r="G7" s="26"/>
      <c r="H7" s="25"/>
      <c r="I7" s="26"/>
      <c r="J7" s="26"/>
      <c r="K7" s="26"/>
      <c r="L7" s="26"/>
      <c r="M7" s="26"/>
      <c r="N7" s="27"/>
      <c r="O7" s="26"/>
      <c r="P7" s="27">
        <f>SUM(F7:O7)</f>
        <v>0</v>
      </c>
      <c r="Q7" s="12"/>
      <c r="R7" s="7"/>
      <c r="S7" s="7"/>
      <c r="T7" s="4"/>
      <c r="U7" s="7"/>
      <c r="V7" s="4"/>
      <c r="W7" s="4"/>
      <c r="X7" s="4"/>
      <c r="Y7" s="4"/>
    </row>
    <row r="8" spans="1:27" ht="18" customHeight="1" x14ac:dyDescent="0.55000000000000004">
      <c r="A8" s="43"/>
      <c r="B8" s="45"/>
      <c r="C8" s="45"/>
      <c r="D8" s="28" t="s">
        <v>0</v>
      </c>
      <c r="E8" s="29">
        <f>SUM(F8:O8)</f>
        <v>0</v>
      </c>
      <c r="F8" s="29">
        <f>F5/51</f>
        <v>0</v>
      </c>
      <c r="G8" s="29">
        <f>G5/51</f>
        <v>0</v>
      </c>
      <c r="H8" s="29">
        <f>H5/66</f>
        <v>0</v>
      </c>
      <c r="I8" s="29">
        <f>I5/76</f>
        <v>0</v>
      </c>
      <c r="J8" s="29">
        <f>J5/86</f>
        <v>0</v>
      </c>
      <c r="K8" s="29">
        <f>K5/106</f>
        <v>0</v>
      </c>
      <c r="L8" s="29">
        <f>L5/121</f>
        <v>0</v>
      </c>
      <c r="M8" s="29">
        <f>M5/150</f>
        <v>0</v>
      </c>
      <c r="N8" s="29">
        <f>N5/150</f>
        <v>0</v>
      </c>
      <c r="O8" s="29">
        <f>SUM(O5:O7)</f>
        <v>0</v>
      </c>
      <c r="P8" s="34">
        <f t="shared" si="0"/>
        <v>0</v>
      </c>
      <c r="Q8" s="2"/>
      <c r="R8" s="7"/>
      <c r="T8" s="4"/>
      <c r="U8" s="4"/>
      <c r="V8" s="4"/>
      <c r="W8" s="4"/>
      <c r="X8" s="4"/>
      <c r="Y8" s="4"/>
    </row>
    <row r="9" spans="1:27" ht="15" customHeight="1" x14ac:dyDescent="0.55000000000000004">
      <c r="A9" s="43"/>
      <c r="B9" s="44"/>
      <c r="C9" s="45"/>
      <c r="D9" s="23" t="s">
        <v>3</v>
      </c>
      <c r="E9" s="24"/>
      <c r="F9"/>
      <c r="G9"/>
      <c r="H9" s="25"/>
      <c r="I9"/>
      <c r="J9"/>
      <c r="K9"/>
      <c r="L9"/>
      <c r="M9"/>
      <c r="N9"/>
      <c r="O9" s="27"/>
      <c r="P9" s="27">
        <f t="shared" si="0"/>
        <v>0</v>
      </c>
      <c r="Q9" s="2"/>
      <c r="R9" s="7"/>
      <c r="S9" s="4"/>
      <c r="T9" s="4"/>
      <c r="U9" s="4"/>
      <c r="V9" s="4"/>
      <c r="W9" s="4"/>
      <c r="X9" s="4"/>
      <c r="Y9" s="4"/>
    </row>
    <row r="10" spans="1:27" ht="15" customHeight="1" x14ac:dyDescent="0.55000000000000004">
      <c r="A10" s="43"/>
      <c r="B10" s="45"/>
      <c r="C10" s="45"/>
      <c r="D10" s="23" t="s">
        <v>2</v>
      </c>
      <c r="E10" s="24"/>
      <c r="F10" s="27"/>
      <c r="G10" s="26"/>
      <c r="H10" s="26"/>
      <c r="I10" s="26"/>
      <c r="J10" s="26"/>
      <c r="K10" s="26"/>
      <c r="L10" s="27"/>
      <c r="M10" s="27"/>
      <c r="N10" s="27"/>
      <c r="O10" s="26"/>
      <c r="P10" s="27">
        <f t="shared" si="0"/>
        <v>0</v>
      </c>
      <c r="Q10" s="2"/>
      <c r="R10" s="7"/>
      <c r="S10" s="4"/>
      <c r="T10" s="4"/>
      <c r="U10" s="4"/>
      <c r="V10" s="4"/>
      <c r="W10"/>
      <c r="X10" s="4"/>
      <c r="Y10" s="4"/>
    </row>
    <row r="11" spans="1:27" ht="17.25" customHeight="1" x14ac:dyDescent="0.55000000000000004">
      <c r="A11" s="43"/>
      <c r="B11" s="45"/>
      <c r="C11" s="45"/>
      <c r="D11" s="23" t="s">
        <v>1</v>
      </c>
      <c r="E11" s="24"/>
      <c r="F11" s="26"/>
      <c r="G11" s="26"/>
      <c r="H11" s="26"/>
      <c r="I11" s="26"/>
      <c r="J11" s="26"/>
      <c r="K11" s="26"/>
      <c r="L11" s="27"/>
      <c r="M11" s="27"/>
      <c r="N11" s="27"/>
      <c r="O11" s="26"/>
      <c r="P11" s="27">
        <f t="shared" si="0"/>
        <v>0</v>
      </c>
      <c r="Q11" s="2"/>
      <c r="R11" s="7"/>
      <c r="T11" s="4"/>
    </row>
    <row r="12" spans="1:27" ht="15" customHeight="1" x14ac:dyDescent="0.55000000000000004">
      <c r="A12" s="43"/>
      <c r="B12" s="45"/>
      <c r="C12" s="45"/>
      <c r="D12" s="28" t="s">
        <v>0</v>
      </c>
      <c r="E12" s="29">
        <f>SUM(F12:O12)</f>
        <v>0</v>
      </c>
      <c r="F12" s="29">
        <f>F9/51</f>
        <v>0</v>
      </c>
      <c r="G12" s="29">
        <f>G9/51</f>
        <v>0</v>
      </c>
      <c r="H12" s="29">
        <f>H9/66</f>
        <v>0</v>
      </c>
      <c r="I12" s="29">
        <f>I9/76</f>
        <v>0</v>
      </c>
      <c r="J12" s="29">
        <f>J9/86</f>
        <v>0</v>
      </c>
      <c r="K12" s="29">
        <f>K9/106</f>
        <v>0</v>
      </c>
      <c r="L12" s="29">
        <f>L9/121</f>
        <v>0</v>
      </c>
      <c r="M12" s="29">
        <f>M9/150</f>
        <v>0</v>
      </c>
      <c r="N12" s="29">
        <f>N9/150</f>
        <v>0</v>
      </c>
      <c r="O12" s="29">
        <f>SUM(O9:O11)</f>
        <v>0</v>
      </c>
      <c r="P12" s="34">
        <f t="shared" si="0"/>
        <v>0</v>
      </c>
      <c r="Q12" s="2"/>
      <c r="R12" s="7"/>
      <c r="T12" s="4"/>
      <c r="U12" s="4"/>
      <c r="V12" s="4"/>
      <c r="W12" s="4"/>
      <c r="X12" s="4"/>
      <c r="Y12" s="4"/>
      <c r="Z12" s="4"/>
    </row>
    <row r="13" spans="1:27" ht="15" customHeight="1" x14ac:dyDescent="0.55000000000000004">
      <c r="A13" s="43"/>
      <c r="B13" s="44"/>
      <c r="C13" s="44"/>
      <c r="D13" s="23" t="s">
        <v>3</v>
      </c>
      <c r="E13" s="24"/>
      <c r="F13" s="27"/>
      <c r="G13" s="25"/>
      <c r="H13" s="25"/>
      <c r="I13" s="25"/>
      <c r="J13" s="25"/>
      <c r="K13" s="25"/>
      <c r="L13" s="25"/>
      <c r="M13" s="25"/>
      <c r="N13" s="25"/>
      <c r="O13" s="27"/>
      <c r="P13" s="27">
        <f>SUM(F13:O13)</f>
        <v>0</v>
      </c>
      <c r="R13" s="7"/>
      <c r="S13" s="4"/>
      <c r="T13" s="4"/>
      <c r="U13" s="4"/>
      <c r="W13" s="4"/>
      <c r="X13" s="4"/>
      <c r="Y13" s="4"/>
      <c r="Z13" s="4"/>
      <c r="AA13" s="4"/>
    </row>
    <row r="14" spans="1:27" ht="15" customHeight="1" x14ac:dyDescent="0.55000000000000004">
      <c r="A14" s="43"/>
      <c r="B14" s="45"/>
      <c r="C14" s="45"/>
      <c r="D14" s="23" t="s">
        <v>2</v>
      </c>
      <c r="E14" s="24"/>
      <c r="F14" s="26"/>
      <c r="G14" s="30"/>
      <c r="H14" s="30"/>
      <c r="I14" s="30"/>
      <c r="J14" s="30"/>
      <c r="K14" s="30"/>
      <c r="L14" s="30"/>
      <c r="M14" s="30"/>
      <c r="N14" s="31"/>
      <c r="O14" s="26"/>
      <c r="P14" s="27">
        <f t="shared" si="0"/>
        <v>0</v>
      </c>
      <c r="Q14" s="2"/>
      <c r="R14" s="7"/>
      <c r="S14" s="4"/>
      <c r="T14" s="4"/>
      <c r="U14" s="4"/>
      <c r="V14" s="2"/>
      <c r="W14" s="4"/>
      <c r="X14" s="4"/>
      <c r="Y14" s="4"/>
    </row>
    <row r="15" spans="1:27" ht="15" customHeight="1" x14ac:dyDescent="0.55000000000000004">
      <c r="A15" s="43"/>
      <c r="B15" s="45"/>
      <c r="C15" s="45"/>
      <c r="D15" s="23" t="s">
        <v>1</v>
      </c>
      <c r="E15" s="32"/>
      <c r="H15" s="3"/>
      <c r="I15" s="3"/>
      <c r="J15" s="3"/>
      <c r="K15" s="3"/>
      <c r="L15" s="3"/>
      <c r="M15" s="3"/>
      <c r="N15" s="27"/>
      <c r="O15" s="26"/>
      <c r="P15" s="27">
        <f t="shared" si="0"/>
        <v>0</v>
      </c>
      <c r="Q15" s="13"/>
      <c r="R15" s="7"/>
      <c r="S15" s="6"/>
      <c r="T15" s="4"/>
      <c r="U15" s="6"/>
      <c r="V15" s="9"/>
      <c r="W15" s="6"/>
      <c r="X15" s="6"/>
      <c r="Y15" s="4"/>
    </row>
    <row r="16" spans="1:27" ht="15" customHeight="1" x14ac:dyDescent="0.55000000000000004">
      <c r="A16" s="43"/>
      <c r="B16" s="45"/>
      <c r="C16" s="45"/>
      <c r="D16" s="28" t="s">
        <v>0</v>
      </c>
      <c r="E16" s="33">
        <f>SUM(F16:O16)</f>
        <v>0</v>
      </c>
      <c r="F16" s="33">
        <f>F13/51</f>
        <v>0</v>
      </c>
      <c r="G16" s="33">
        <f>G13/51</f>
        <v>0</v>
      </c>
      <c r="H16" s="33">
        <f>H13/66</f>
        <v>0</v>
      </c>
      <c r="I16" s="33">
        <f>I13/76</f>
        <v>0</v>
      </c>
      <c r="J16" s="33">
        <f>J13/86</f>
        <v>0</v>
      </c>
      <c r="K16" s="33">
        <f>K13/106</f>
        <v>0</v>
      </c>
      <c r="L16" s="33">
        <f>L13/121</f>
        <v>0</v>
      </c>
      <c r="M16" s="33">
        <f>M13/150</f>
        <v>0</v>
      </c>
      <c r="N16" s="33">
        <f>N13/150</f>
        <v>0</v>
      </c>
      <c r="O16" s="33">
        <f>SUM(O13:O15)</f>
        <v>0</v>
      </c>
      <c r="P16" s="34">
        <f t="shared" si="0"/>
        <v>0</v>
      </c>
      <c r="Q16" s="2"/>
      <c r="T16" s="4"/>
      <c r="V16" s="2"/>
      <c r="Y16" s="4"/>
    </row>
    <row r="17" spans="1:29" ht="15" customHeight="1" x14ac:dyDescent="0.55000000000000004">
      <c r="A17" s="43"/>
      <c r="B17" s="44"/>
      <c r="C17" s="45"/>
      <c r="D17" s="23" t="s">
        <v>3</v>
      </c>
      <c r="E17" s="24"/>
      <c r="F17" s="25"/>
      <c r="G17" s="25"/>
      <c r="H17" s="25"/>
      <c r="I17" s="25"/>
      <c r="J17" s="25"/>
      <c r="K17" s="25"/>
      <c r="L17" s="25"/>
      <c r="M17" s="25"/>
      <c r="N17" s="27"/>
      <c r="O17" s="27"/>
      <c r="P17" s="27">
        <f t="shared" si="0"/>
        <v>0</v>
      </c>
      <c r="Q17" s="2"/>
      <c r="T17" s="4"/>
      <c r="V17" s="2"/>
      <c r="Y17" s="4"/>
    </row>
    <row r="18" spans="1:29" ht="15" customHeight="1" x14ac:dyDescent="0.55000000000000004">
      <c r="A18" s="43"/>
      <c r="B18" s="45"/>
      <c r="C18" s="45"/>
      <c r="D18" s="23" t="s">
        <v>2</v>
      </c>
      <c r="E18" s="24"/>
      <c r="F18" s="26"/>
      <c r="G18" s="26"/>
      <c r="H18" s="26"/>
      <c r="I18" s="26"/>
      <c r="J18" s="26"/>
      <c r="K18" s="26"/>
      <c r="L18" s="27"/>
      <c r="M18" s="27"/>
      <c r="N18" s="27"/>
      <c r="O18" s="26"/>
      <c r="P18" s="27">
        <f t="shared" si="0"/>
        <v>0</v>
      </c>
      <c r="Q18" s="2"/>
      <c r="T18" s="4"/>
      <c r="V18" s="2"/>
      <c r="Y18" s="4"/>
    </row>
    <row r="19" spans="1:29" ht="15" customHeight="1" x14ac:dyDescent="0.55000000000000004">
      <c r="A19" s="43"/>
      <c r="B19" s="45"/>
      <c r="C19" s="45"/>
      <c r="D19" s="23" t="s">
        <v>1</v>
      </c>
      <c r="E19" s="24"/>
      <c r="F19" s="26"/>
      <c r="G19" s="27"/>
      <c r="H19" s="27"/>
      <c r="I19" s="27"/>
      <c r="J19" s="27"/>
      <c r="K19" s="27"/>
      <c r="L19" s="27"/>
      <c r="M19" s="27"/>
      <c r="N19" s="27"/>
      <c r="O19" s="26"/>
      <c r="P19" s="27">
        <f t="shared" si="0"/>
        <v>0</v>
      </c>
      <c r="Q19" s="2"/>
      <c r="T19" s="4"/>
      <c r="V19" s="2"/>
      <c r="Y19" s="4"/>
    </row>
    <row r="20" spans="1:29" ht="15" customHeight="1" x14ac:dyDescent="0.55000000000000004">
      <c r="A20" s="43"/>
      <c r="B20" s="45"/>
      <c r="C20" s="45"/>
      <c r="D20" s="28" t="s">
        <v>0</v>
      </c>
      <c r="E20" s="29">
        <f>SUM(F20:O20)</f>
        <v>0</v>
      </c>
      <c r="F20" s="29">
        <f>F17/51</f>
        <v>0</v>
      </c>
      <c r="G20" s="29">
        <f>G17/51</f>
        <v>0</v>
      </c>
      <c r="H20" s="29">
        <f>H17/66</f>
        <v>0</v>
      </c>
      <c r="I20" s="29">
        <f>I17/76</f>
        <v>0</v>
      </c>
      <c r="J20" s="29">
        <f>J17/86</f>
        <v>0</v>
      </c>
      <c r="K20" s="29">
        <f>K17/106</f>
        <v>0</v>
      </c>
      <c r="L20" s="34">
        <f>L17/121</f>
        <v>0</v>
      </c>
      <c r="M20" s="34">
        <f>M17/150</f>
        <v>0</v>
      </c>
      <c r="N20" s="35">
        <f>N17/150</f>
        <v>0</v>
      </c>
      <c r="O20" s="35">
        <f>SUM(O17:O19)</f>
        <v>0</v>
      </c>
      <c r="P20" s="34">
        <f t="shared" si="0"/>
        <v>0</v>
      </c>
      <c r="Q20" s="12"/>
      <c r="R20" s="7"/>
      <c r="S20" s="7"/>
      <c r="T20" s="7"/>
      <c r="U20" s="7"/>
      <c r="V20" s="8"/>
      <c r="W20" s="7"/>
      <c r="X20" s="7"/>
      <c r="Y20" s="7"/>
      <c r="Z20" s="7"/>
      <c r="AA20" s="7"/>
    </row>
    <row r="21" spans="1:29" ht="15" customHeight="1" x14ac:dyDescent="0.55000000000000004">
      <c r="A21" s="43"/>
      <c r="B21" s="44"/>
      <c r="C21" s="44"/>
      <c r="D21" s="23" t="s">
        <v>18</v>
      </c>
      <c r="E21" s="24"/>
      <c r="F21"/>
      <c r="G21"/>
      <c r="H21"/>
      <c r="I21"/>
      <c r="J21"/>
      <c r="K21"/>
      <c r="L21"/>
      <c r="M21"/>
      <c r="N21"/>
      <c r="O21" s="27"/>
      <c r="P21" s="27">
        <f t="shared" si="0"/>
        <v>0</v>
      </c>
    </row>
    <row r="22" spans="1:29" ht="15" customHeight="1" x14ac:dyDescent="0.55000000000000004">
      <c r="A22" s="43"/>
      <c r="B22" s="45"/>
      <c r="C22" s="45"/>
      <c r="D22" s="23" t="s">
        <v>2</v>
      </c>
      <c r="E22" s="24"/>
      <c r="F22" s="24"/>
      <c r="O22" s="26"/>
      <c r="P22" s="27">
        <f t="shared" si="0"/>
        <v>0</v>
      </c>
    </row>
    <row r="23" spans="1:29" ht="15" customHeight="1" x14ac:dyDescent="0.55000000000000004">
      <c r="A23" s="43"/>
      <c r="B23" s="45"/>
      <c r="C23" s="45"/>
      <c r="D23" s="23" t="s">
        <v>1</v>
      </c>
      <c r="E23" s="24"/>
      <c r="F23" s="26"/>
      <c r="M23" s="27"/>
      <c r="N23" s="27"/>
      <c r="O23" s="26"/>
      <c r="P23" s="27">
        <f t="shared" si="0"/>
        <v>0</v>
      </c>
      <c r="Q23" s="14"/>
      <c r="R23" s="6"/>
    </row>
    <row r="24" spans="1:29" ht="15" customHeight="1" x14ac:dyDescent="0.55000000000000004">
      <c r="A24" s="43"/>
      <c r="B24" s="45"/>
      <c r="C24" s="45"/>
      <c r="D24" s="28" t="s">
        <v>0</v>
      </c>
      <c r="E24" s="33">
        <f>SUM(F24:O24)</f>
        <v>0</v>
      </c>
      <c r="F24" s="33">
        <f>F21/51</f>
        <v>0</v>
      </c>
      <c r="G24" s="33">
        <f>G21/51</f>
        <v>0</v>
      </c>
      <c r="H24" s="33">
        <f>H21/66</f>
        <v>0</v>
      </c>
      <c r="I24" s="33">
        <f>I21/76</f>
        <v>0</v>
      </c>
      <c r="J24" s="33">
        <f>J21/86</f>
        <v>0</v>
      </c>
      <c r="K24" s="33">
        <f>K21/106</f>
        <v>0</v>
      </c>
      <c r="L24" s="33">
        <f>L21/121</f>
        <v>0</v>
      </c>
      <c r="M24" s="33">
        <f>M21/150</f>
        <v>0</v>
      </c>
      <c r="N24" s="33">
        <f>N21/150</f>
        <v>0</v>
      </c>
      <c r="O24" s="33">
        <f>SUM(O21:O23)</f>
        <v>0</v>
      </c>
      <c r="P24" s="34">
        <f t="shared" si="0"/>
        <v>0</v>
      </c>
    </row>
    <row r="25" spans="1:29" ht="15" customHeight="1" x14ac:dyDescent="0.55000000000000004">
      <c r="A25" s="43"/>
      <c r="B25" s="44"/>
      <c r="C25" s="45"/>
      <c r="D25" s="23" t="s">
        <v>3</v>
      </c>
      <c r="E25" s="24"/>
      <c r="F25" s="27"/>
      <c r="M25" s="27"/>
      <c r="N25" s="27"/>
      <c r="O25" s="27"/>
      <c r="P25" s="27">
        <f t="shared" si="0"/>
        <v>0</v>
      </c>
    </row>
    <row r="26" spans="1:29" ht="15" customHeight="1" x14ac:dyDescent="0.55000000000000004">
      <c r="A26" s="43"/>
      <c r="B26" s="45"/>
      <c r="C26" s="45"/>
      <c r="D26" s="23" t="s">
        <v>2</v>
      </c>
      <c r="E26" s="24"/>
      <c r="F26" s="26"/>
      <c r="G26" s="26"/>
      <c r="H26" s="26"/>
      <c r="I26" s="26"/>
      <c r="J26" s="26"/>
      <c r="K26" s="26"/>
      <c r="L26" s="27"/>
      <c r="M26" s="27"/>
      <c r="N26" s="27"/>
      <c r="O26" s="26"/>
      <c r="P26" s="27">
        <f>SUM(F26:O26)</f>
        <v>0</v>
      </c>
      <c r="AA26" s="2"/>
      <c r="AB26" s="4"/>
    </row>
    <row r="27" spans="1:29" ht="15" customHeight="1" x14ac:dyDescent="0.55000000000000004">
      <c r="A27" s="43"/>
      <c r="B27" s="45"/>
      <c r="C27" s="45"/>
      <c r="D27" s="23" t="s">
        <v>1</v>
      </c>
      <c r="E27" s="24"/>
      <c r="F27" s="26"/>
      <c r="G27" s="27"/>
      <c r="H27" s="27"/>
      <c r="I27" s="27"/>
      <c r="J27" s="27"/>
      <c r="K27" s="27"/>
      <c r="L27" s="27"/>
      <c r="M27" s="27"/>
      <c r="N27" s="27"/>
      <c r="O27" s="26"/>
      <c r="P27" s="27">
        <f t="shared" si="0"/>
        <v>0</v>
      </c>
      <c r="AA27" s="9"/>
      <c r="AB27" s="6"/>
    </row>
    <row r="28" spans="1:29" ht="15" customHeight="1" x14ac:dyDescent="0.55000000000000004">
      <c r="A28" s="43"/>
      <c r="B28" s="45"/>
      <c r="C28" s="45"/>
      <c r="D28" s="28" t="s">
        <v>0</v>
      </c>
      <c r="E28" s="33">
        <f>SUM(F28:O28)</f>
        <v>0</v>
      </c>
      <c r="F28" s="33">
        <f>F25/51</f>
        <v>0</v>
      </c>
      <c r="G28" s="33">
        <f>G25/51</f>
        <v>0</v>
      </c>
      <c r="H28" s="33">
        <f>H25/66</f>
        <v>0</v>
      </c>
      <c r="I28" s="33">
        <f>I25/76</f>
        <v>0</v>
      </c>
      <c r="J28" s="33">
        <f>J25/86</f>
        <v>0</v>
      </c>
      <c r="K28" s="33">
        <f>K25/106</f>
        <v>0</v>
      </c>
      <c r="L28" s="33">
        <f>L25/121</f>
        <v>0</v>
      </c>
      <c r="M28" s="33">
        <f>M25/150</f>
        <v>0</v>
      </c>
      <c r="N28" s="33">
        <f>N25/150</f>
        <v>0</v>
      </c>
      <c r="O28" s="33">
        <f>SUM(O25:O27)</f>
        <v>0</v>
      </c>
      <c r="P28" s="34">
        <f t="shared" si="0"/>
        <v>0</v>
      </c>
      <c r="X28" s="4"/>
      <c r="Y28" s="4"/>
      <c r="Z28" s="4"/>
      <c r="AA28" s="2"/>
      <c r="AC28" s="4"/>
    </row>
    <row r="29" spans="1:29" ht="15" customHeight="1" x14ac:dyDescent="0.55000000000000004">
      <c r="A29" s="43"/>
      <c r="B29" s="44"/>
      <c r="C29" s="44"/>
      <c r="D29" s="23" t="s">
        <v>3</v>
      </c>
      <c r="E29" s="24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>
        <f>SUM(F29:O29)</f>
        <v>0</v>
      </c>
      <c r="AA29" s="2"/>
    </row>
    <row r="30" spans="1:29" ht="15" customHeight="1" x14ac:dyDescent="0.55000000000000004">
      <c r="A30" s="43"/>
      <c r="B30" s="45"/>
      <c r="C30" s="45"/>
      <c r="D30" s="23" t="s">
        <v>2</v>
      </c>
      <c r="E30" s="24"/>
      <c r="F30" s="26"/>
      <c r="G30" s="26"/>
      <c r="H30" s="26"/>
      <c r="I30" s="26"/>
      <c r="J30" s="26"/>
      <c r="K30" s="26"/>
      <c r="L30" s="27"/>
      <c r="M30" s="27"/>
      <c r="N30" s="27"/>
      <c r="O30" s="26"/>
      <c r="P30" s="27">
        <f t="shared" si="0"/>
        <v>0</v>
      </c>
      <c r="R30" s="2"/>
      <c r="S30" s="6"/>
      <c r="T30" s="6"/>
      <c r="U30" s="10"/>
      <c r="V30" s="6"/>
      <c r="W30" s="6"/>
      <c r="X30" s="7"/>
      <c r="AA30" s="2"/>
    </row>
    <row r="31" spans="1:29" ht="15" customHeight="1" x14ac:dyDescent="0.55000000000000004">
      <c r="A31" s="43"/>
      <c r="B31" s="45"/>
      <c r="C31" s="45"/>
      <c r="D31" s="23" t="s">
        <v>1</v>
      </c>
      <c r="E31" s="24"/>
      <c r="F31" s="26"/>
      <c r="G31" s="26"/>
      <c r="H31" s="26"/>
      <c r="I31" s="26"/>
      <c r="J31" s="26"/>
      <c r="K31" s="26"/>
      <c r="L31" s="26"/>
      <c r="M31" s="27"/>
      <c r="N31" s="27"/>
      <c r="O31" s="26"/>
      <c r="P31" s="27">
        <f t="shared" si="0"/>
        <v>0</v>
      </c>
      <c r="R31" s="2"/>
      <c r="AA31" s="2"/>
    </row>
    <row r="32" spans="1:29" ht="15" customHeight="1" x14ac:dyDescent="0.55000000000000004">
      <c r="A32" s="43"/>
      <c r="B32" s="45"/>
      <c r="C32" s="45"/>
      <c r="D32" s="28" t="s">
        <v>0</v>
      </c>
      <c r="E32" s="33">
        <f>SUM(F32:O32)</f>
        <v>0</v>
      </c>
      <c r="F32" s="33">
        <f>F29/51</f>
        <v>0</v>
      </c>
      <c r="G32" s="33">
        <f>G29/51</f>
        <v>0</v>
      </c>
      <c r="H32" s="33">
        <f>H29/66</f>
        <v>0</v>
      </c>
      <c r="I32" s="33">
        <f>I29/76</f>
        <v>0</v>
      </c>
      <c r="J32" s="33">
        <f>J29/86</f>
        <v>0</v>
      </c>
      <c r="K32" s="33">
        <f>K29/106</f>
        <v>0</v>
      </c>
      <c r="L32" s="33">
        <f>L29/121</f>
        <v>0</v>
      </c>
      <c r="M32" s="33">
        <f>M29/150</f>
        <v>0</v>
      </c>
      <c r="N32" s="33">
        <f>N29/150</f>
        <v>0</v>
      </c>
      <c r="O32" s="33">
        <f>SUM(O29:O31)</f>
        <v>0</v>
      </c>
      <c r="P32" s="34">
        <f t="shared" si="0"/>
        <v>0</v>
      </c>
      <c r="AA32" s="8"/>
      <c r="AB32" s="7"/>
    </row>
    <row r="33" spans="1:26" ht="15" customHeight="1" x14ac:dyDescent="0.55000000000000004">
      <c r="A33" s="43"/>
      <c r="B33" s="44"/>
      <c r="C33" s="45"/>
      <c r="D33" s="23" t="s">
        <v>3</v>
      </c>
      <c r="E33" s="24"/>
      <c r="F33" s="27"/>
      <c r="H33" s="3"/>
      <c r="I33" s="3"/>
      <c r="J33" s="3"/>
      <c r="K33" s="3"/>
      <c r="L33" s="42"/>
      <c r="M33" s="27"/>
      <c r="N33" s="27"/>
      <c r="O33" s="27"/>
      <c r="P33" s="27">
        <f t="shared" si="0"/>
        <v>0</v>
      </c>
    </row>
    <row r="34" spans="1:26" ht="15" customHeight="1" x14ac:dyDescent="0.55000000000000004">
      <c r="A34" s="43"/>
      <c r="B34" s="45"/>
      <c r="C34" s="45"/>
      <c r="D34" s="23" t="s">
        <v>2</v>
      </c>
      <c r="E34" s="24"/>
      <c r="F34" s="26"/>
      <c r="G34" s="26"/>
      <c r="H34" s="27"/>
      <c r="I34" s="27"/>
      <c r="J34" s="31"/>
      <c r="K34" s="31"/>
      <c r="L34" s="31"/>
      <c r="M34" s="27"/>
      <c r="N34" s="27"/>
      <c r="O34" s="26"/>
      <c r="P34" s="27">
        <f t="shared" si="0"/>
        <v>0</v>
      </c>
      <c r="R34" s="4"/>
      <c r="S34" s="4"/>
      <c r="T34" s="4"/>
      <c r="U34" s="4"/>
      <c r="V34" s="4"/>
      <c r="W34" s="4"/>
      <c r="X34" s="4"/>
    </row>
    <row r="35" spans="1:26" ht="15" customHeight="1" x14ac:dyDescent="0.55000000000000004">
      <c r="A35" s="43"/>
      <c r="B35" s="45"/>
      <c r="C35" s="45"/>
      <c r="D35" s="23" t="s">
        <v>1</v>
      </c>
      <c r="E35" s="24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>
        <f t="shared" si="0"/>
        <v>0</v>
      </c>
      <c r="T35" s="4"/>
      <c r="U35" s="4"/>
      <c r="V35" s="4"/>
      <c r="W35" s="4"/>
      <c r="X35" s="4"/>
      <c r="Y35" s="4"/>
    </row>
    <row r="36" spans="1:26" ht="15" customHeight="1" x14ac:dyDescent="0.55000000000000004">
      <c r="A36" s="43"/>
      <c r="B36" s="45"/>
      <c r="C36" s="45"/>
      <c r="D36" s="28" t="s">
        <v>0</v>
      </c>
      <c r="E36" s="33">
        <f>SUM(F36:O36)</f>
        <v>0</v>
      </c>
      <c r="F36" s="36">
        <f>F33/51</f>
        <v>0</v>
      </c>
      <c r="G36" s="36">
        <f>G33/51</f>
        <v>0</v>
      </c>
      <c r="H36" s="36">
        <f>H33/66</f>
        <v>0</v>
      </c>
      <c r="I36" s="36">
        <f>I33/76</f>
        <v>0</v>
      </c>
      <c r="J36" s="36">
        <f>J33/86</f>
        <v>0</v>
      </c>
      <c r="K36" s="36">
        <f>K33/106</f>
        <v>0</v>
      </c>
      <c r="L36" s="36">
        <f>L33/121</f>
        <v>0</v>
      </c>
      <c r="M36" s="36">
        <f>M33/150</f>
        <v>0</v>
      </c>
      <c r="N36" s="36">
        <f>N33/150</f>
        <v>0</v>
      </c>
      <c r="O36" s="36">
        <f>SUM(O33:O35)</f>
        <v>0</v>
      </c>
      <c r="P36" s="34">
        <f t="shared" si="0"/>
        <v>0</v>
      </c>
    </row>
    <row r="37" spans="1:26" ht="15" customHeight="1" x14ac:dyDescent="0.55000000000000004">
      <c r="A37" s="43"/>
      <c r="B37" s="44"/>
      <c r="C37" s="44"/>
      <c r="D37" s="23" t="s">
        <v>3</v>
      </c>
      <c r="E37" s="24"/>
      <c r="F37" s="26"/>
      <c r="G37" s="26"/>
      <c r="H37" s="26"/>
      <c r="I37" s="26"/>
      <c r="J37" s="26"/>
      <c r="K37" s="26"/>
      <c r="L37" s="27"/>
      <c r="M37" s="27"/>
      <c r="N37" s="27"/>
      <c r="O37" s="27"/>
      <c r="P37" s="27">
        <f t="shared" si="0"/>
        <v>0</v>
      </c>
    </row>
    <row r="38" spans="1:26" ht="15" customHeight="1" x14ac:dyDescent="0.55000000000000004">
      <c r="A38" s="43"/>
      <c r="B38" s="44"/>
      <c r="C38" s="45"/>
      <c r="D38" s="23" t="s">
        <v>2</v>
      </c>
      <c r="E38" s="24"/>
      <c r="F38" s="26"/>
      <c r="G38" s="26"/>
      <c r="H38" s="26"/>
      <c r="I38" s="26"/>
      <c r="J38" s="26"/>
      <c r="K38" s="26"/>
      <c r="L38" s="27"/>
      <c r="M38" s="27"/>
      <c r="N38" s="27"/>
      <c r="O38" s="26"/>
      <c r="P38" s="27">
        <f t="shared" si="0"/>
        <v>0</v>
      </c>
      <c r="S38" s="3"/>
      <c r="T38" s="2"/>
      <c r="U38" s="2"/>
      <c r="V38" s="2"/>
      <c r="W38" s="2"/>
      <c r="X38" s="2"/>
      <c r="Y38" s="7"/>
      <c r="Z38" s="7"/>
    </row>
    <row r="39" spans="1:26" ht="15" customHeight="1" x14ac:dyDescent="0.55000000000000004">
      <c r="A39" s="43"/>
      <c r="B39" s="44"/>
      <c r="C39" s="45"/>
      <c r="D39" s="23" t="s">
        <v>1</v>
      </c>
      <c r="E39" s="24"/>
      <c r="F39" s="26"/>
      <c r="G39" s="26"/>
      <c r="H39" s="26"/>
      <c r="I39" s="26"/>
      <c r="J39" s="26"/>
      <c r="K39" s="26"/>
      <c r="L39" s="27"/>
      <c r="M39" s="27"/>
      <c r="N39" s="27"/>
      <c r="O39" s="26"/>
      <c r="P39" s="27">
        <f t="shared" si="0"/>
        <v>0</v>
      </c>
      <c r="S39" s="6"/>
      <c r="T39" s="6"/>
      <c r="U39" s="6"/>
      <c r="V39" s="6"/>
      <c r="W39" s="6"/>
      <c r="X39" s="7"/>
      <c r="Y39" s="7"/>
      <c r="Z39" s="7"/>
    </row>
    <row r="40" spans="1:26" ht="15" customHeight="1" x14ac:dyDescent="0.55000000000000004">
      <c r="A40" s="43"/>
      <c r="B40" s="44"/>
      <c r="C40" s="45"/>
      <c r="D40" s="28" t="s">
        <v>0</v>
      </c>
      <c r="E40" s="33">
        <f>F40/50+G40/55+H40/65+I40/75+J40/85+K40/105+L40/120+M40/150+N40/180+O40/180</f>
        <v>0</v>
      </c>
      <c r="F40" s="35">
        <f t="shared" ref="F40:N40" si="1">F37-F38-F39</f>
        <v>0</v>
      </c>
      <c r="G40" s="35">
        <f t="shared" si="1"/>
        <v>0</v>
      </c>
      <c r="H40" s="35">
        <f t="shared" si="1"/>
        <v>0</v>
      </c>
      <c r="I40" s="35">
        <f t="shared" si="1"/>
        <v>0</v>
      </c>
      <c r="J40" s="35">
        <f t="shared" si="1"/>
        <v>0</v>
      </c>
      <c r="K40" s="35">
        <f t="shared" si="1"/>
        <v>0</v>
      </c>
      <c r="L40" s="35">
        <f t="shared" si="1"/>
        <v>0</v>
      </c>
      <c r="M40" s="35">
        <f t="shared" si="1"/>
        <v>0</v>
      </c>
      <c r="N40" s="35">
        <f t="shared" si="1"/>
        <v>0</v>
      </c>
      <c r="O40" s="35">
        <f>SUM(O37:O39)</f>
        <v>0</v>
      </c>
      <c r="P40" s="34">
        <f t="shared" si="0"/>
        <v>0</v>
      </c>
    </row>
    <row r="41" spans="1:26" ht="15" customHeight="1" x14ac:dyDescent="0.55000000000000004">
      <c r="A41" s="43"/>
      <c r="B41" s="44"/>
      <c r="C41" s="45"/>
      <c r="D41" s="23" t="s">
        <v>3</v>
      </c>
      <c r="E41" s="24"/>
      <c r="F41" s="26"/>
      <c r="G41" s="26"/>
      <c r="H41" s="27"/>
      <c r="I41" s="27"/>
      <c r="J41" s="31"/>
      <c r="K41" s="31"/>
      <c r="L41" s="31"/>
      <c r="M41" s="27"/>
      <c r="N41" s="27"/>
      <c r="O41" s="27"/>
      <c r="P41" s="27">
        <f t="shared" si="0"/>
        <v>0</v>
      </c>
    </row>
    <row r="42" spans="1:26" ht="15" customHeight="1" x14ac:dyDescent="0.55000000000000004">
      <c r="A42" s="43"/>
      <c r="B42" s="45"/>
      <c r="C42" s="45"/>
      <c r="D42" s="23" t="s">
        <v>2</v>
      </c>
      <c r="E42" s="24"/>
      <c r="F42" s="27"/>
      <c r="G42" s="27"/>
      <c r="H42" s="27"/>
      <c r="I42" s="27"/>
      <c r="J42" s="27"/>
      <c r="K42" s="27"/>
      <c r="L42" s="27"/>
      <c r="M42" s="27"/>
      <c r="N42" s="27"/>
      <c r="O42" s="26"/>
      <c r="P42" s="27">
        <f t="shared" si="0"/>
        <v>0</v>
      </c>
    </row>
    <row r="43" spans="1:26" ht="15" customHeight="1" x14ac:dyDescent="0.55000000000000004">
      <c r="A43" s="43"/>
      <c r="B43" s="45"/>
      <c r="C43" s="45"/>
      <c r="D43" s="23" t="s">
        <v>1</v>
      </c>
      <c r="E43" s="24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7">
        <f t="shared" si="0"/>
        <v>0</v>
      </c>
    </row>
    <row r="44" spans="1:26" ht="15" customHeight="1" x14ac:dyDescent="0.55000000000000004">
      <c r="A44" s="43"/>
      <c r="B44" s="45"/>
      <c r="C44" s="45"/>
      <c r="D44" s="28" t="s">
        <v>0</v>
      </c>
      <c r="E44" s="33">
        <f>F44/50+G44/55+H44/65+I44/75+J44/85+K44/105+L44/120+M44/150+N44/180+O44/180</f>
        <v>0</v>
      </c>
      <c r="F44" s="35">
        <f>F41</f>
        <v>0</v>
      </c>
      <c r="G44" s="35">
        <f t="shared" ref="G44:O44" si="2">G41</f>
        <v>0</v>
      </c>
      <c r="H44" s="35">
        <f t="shared" si="2"/>
        <v>0</v>
      </c>
      <c r="I44" s="35">
        <f t="shared" si="2"/>
        <v>0</v>
      </c>
      <c r="J44" s="35">
        <f t="shared" si="2"/>
        <v>0</v>
      </c>
      <c r="K44" s="35">
        <f t="shared" si="2"/>
        <v>0</v>
      </c>
      <c r="L44" s="35">
        <f t="shared" si="2"/>
        <v>0</v>
      </c>
      <c r="M44" s="35">
        <f t="shared" si="2"/>
        <v>0</v>
      </c>
      <c r="N44" s="35">
        <f t="shared" si="2"/>
        <v>0</v>
      </c>
      <c r="O44" s="35">
        <f t="shared" si="2"/>
        <v>0</v>
      </c>
      <c r="P44" s="34">
        <f t="shared" si="0"/>
        <v>0</v>
      </c>
    </row>
    <row r="45" spans="1:26" ht="15" customHeight="1" x14ac:dyDescent="0.55000000000000004">
      <c r="A45" s="43"/>
      <c r="B45" s="44"/>
      <c r="C45" s="45"/>
      <c r="D45" s="23" t="s">
        <v>3</v>
      </c>
      <c r="E45" s="24"/>
      <c r="F45" s="27"/>
      <c r="G45" s="27"/>
      <c r="H45" s="26"/>
      <c r="I45" s="26"/>
      <c r="J45" s="26"/>
      <c r="K45" s="26"/>
      <c r="L45" s="27"/>
      <c r="M45" s="27"/>
      <c r="N45" s="27"/>
      <c r="O45" s="27"/>
      <c r="P45" s="27">
        <f t="shared" si="0"/>
        <v>0</v>
      </c>
    </row>
    <row r="46" spans="1:26" ht="15" customHeight="1" x14ac:dyDescent="0.55000000000000004">
      <c r="A46" s="43"/>
      <c r="B46" s="45"/>
      <c r="C46" s="45"/>
      <c r="D46" s="23" t="s">
        <v>2</v>
      </c>
      <c r="E46" s="24"/>
      <c r="F46" s="26"/>
      <c r="G46" s="27"/>
      <c r="H46" s="26"/>
      <c r="I46" s="26"/>
      <c r="J46" s="26"/>
      <c r="K46" s="26"/>
      <c r="L46" s="27"/>
      <c r="M46" s="27"/>
      <c r="N46" s="27"/>
      <c r="O46" s="26"/>
      <c r="P46" s="27">
        <f t="shared" si="0"/>
        <v>0</v>
      </c>
    </row>
    <row r="47" spans="1:26" ht="15" customHeight="1" x14ac:dyDescent="0.55000000000000004">
      <c r="A47" s="43"/>
      <c r="B47" s="45"/>
      <c r="C47" s="45"/>
      <c r="D47" s="23" t="s">
        <v>1</v>
      </c>
      <c r="E47" s="24"/>
      <c r="F47" s="26"/>
      <c r="G47" s="26"/>
      <c r="H47" s="26"/>
      <c r="I47" s="26"/>
      <c r="J47" s="26"/>
      <c r="K47" s="26"/>
      <c r="L47" s="27"/>
      <c r="M47" s="27"/>
      <c r="N47" s="27"/>
      <c r="O47" s="26"/>
      <c r="P47" s="27">
        <f t="shared" si="0"/>
        <v>0</v>
      </c>
    </row>
    <row r="48" spans="1:26" ht="15" customHeight="1" x14ac:dyDescent="0.55000000000000004">
      <c r="A48" s="43"/>
      <c r="B48" s="45"/>
      <c r="C48" s="45"/>
      <c r="D48" s="28" t="s">
        <v>0</v>
      </c>
      <c r="E48" s="33">
        <f>F48/50+G48/55+H48/65+I48/75+J48/85+K48/105+L48/120+M48/150+N48/180+O48/180</f>
        <v>0</v>
      </c>
      <c r="F48" s="35">
        <f>F45</f>
        <v>0</v>
      </c>
      <c r="G48" s="35">
        <f t="shared" ref="G48:O48" si="3">G45</f>
        <v>0</v>
      </c>
      <c r="H48" s="35">
        <f t="shared" si="3"/>
        <v>0</v>
      </c>
      <c r="I48" s="35">
        <f t="shared" si="3"/>
        <v>0</v>
      </c>
      <c r="J48" s="35">
        <f t="shared" si="3"/>
        <v>0</v>
      </c>
      <c r="K48" s="35">
        <f t="shared" si="3"/>
        <v>0</v>
      </c>
      <c r="L48" s="35">
        <f t="shared" si="3"/>
        <v>0</v>
      </c>
      <c r="M48" s="35">
        <f t="shared" si="3"/>
        <v>0</v>
      </c>
      <c r="N48" s="35">
        <f t="shared" si="3"/>
        <v>0</v>
      </c>
      <c r="O48" s="35">
        <f t="shared" si="3"/>
        <v>0</v>
      </c>
      <c r="P48" s="34">
        <f t="shared" si="0"/>
        <v>0</v>
      </c>
      <c r="T48" s="4"/>
      <c r="U48" s="4"/>
      <c r="V48" s="4"/>
    </row>
    <row r="49" spans="1:22" ht="15" customHeight="1" x14ac:dyDescent="0.55000000000000004">
      <c r="A49" s="43"/>
      <c r="B49" s="44"/>
      <c r="C49" s="44"/>
      <c r="D49" s="23" t="s">
        <v>3</v>
      </c>
      <c r="E49" s="24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>
        <f t="shared" si="0"/>
        <v>0</v>
      </c>
      <c r="S49" s="2"/>
      <c r="T49" s="4"/>
      <c r="U49" s="4"/>
      <c r="V49" s="4"/>
    </row>
    <row r="50" spans="1:22" ht="15" customHeight="1" x14ac:dyDescent="0.55000000000000004">
      <c r="A50" s="43"/>
      <c r="B50" s="44"/>
      <c r="C50" s="45"/>
      <c r="D50" s="23" t="s">
        <v>2</v>
      </c>
      <c r="E50" s="24"/>
      <c r="F50" s="26"/>
      <c r="G50" s="26"/>
      <c r="H50" s="26"/>
      <c r="I50" s="26"/>
      <c r="J50" s="26"/>
      <c r="K50" s="26"/>
      <c r="L50" s="27"/>
      <c r="M50" s="27"/>
      <c r="N50" s="27"/>
      <c r="O50" s="26"/>
      <c r="P50" s="27">
        <f t="shared" si="0"/>
        <v>0</v>
      </c>
      <c r="S50" s="9"/>
      <c r="T50" s="6"/>
      <c r="U50" s="6"/>
      <c r="V50" s="4"/>
    </row>
    <row r="51" spans="1:22" ht="15" customHeight="1" x14ac:dyDescent="0.55000000000000004">
      <c r="A51" s="43"/>
      <c r="B51" s="44"/>
      <c r="C51" s="45"/>
      <c r="D51" s="23" t="s">
        <v>1</v>
      </c>
      <c r="E51" s="24"/>
      <c r="F51" s="26"/>
      <c r="G51" s="26"/>
      <c r="H51" s="26"/>
      <c r="I51" s="26"/>
      <c r="J51" s="26"/>
      <c r="K51" s="26"/>
      <c r="L51" s="27"/>
      <c r="M51" s="27"/>
      <c r="N51" s="27"/>
      <c r="O51" s="26"/>
      <c r="P51" s="27">
        <f t="shared" si="0"/>
        <v>0</v>
      </c>
      <c r="S51" s="2"/>
      <c r="V51" s="4"/>
    </row>
    <row r="52" spans="1:22" ht="15" customHeight="1" x14ac:dyDescent="0.55000000000000004">
      <c r="A52" s="43"/>
      <c r="B52" s="44"/>
      <c r="C52" s="45"/>
      <c r="D52" s="28" t="s">
        <v>0</v>
      </c>
      <c r="E52" s="33">
        <f>F52/50+G52/55+H52/65+I52/75+J52/85+K52/105+L52/120+M52/150+N52/180+O52/180</f>
        <v>0</v>
      </c>
      <c r="F52" s="34">
        <f>F49</f>
        <v>0</v>
      </c>
      <c r="G52" s="34">
        <f t="shared" ref="G52:O52" si="4">G49</f>
        <v>0</v>
      </c>
      <c r="H52" s="34">
        <f t="shared" si="4"/>
        <v>0</v>
      </c>
      <c r="I52" s="34">
        <f t="shared" si="4"/>
        <v>0</v>
      </c>
      <c r="J52" s="34">
        <f t="shared" si="4"/>
        <v>0</v>
      </c>
      <c r="K52" s="34">
        <f t="shared" si="4"/>
        <v>0</v>
      </c>
      <c r="L52" s="34">
        <f t="shared" si="4"/>
        <v>0</v>
      </c>
      <c r="M52" s="34">
        <f t="shared" si="4"/>
        <v>0</v>
      </c>
      <c r="N52" s="34">
        <f t="shared" si="4"/>
        <v>0</v>
      </c>
      <c r="O52" s="34">
        <f t="shared" si="4"/>
        <v>0</v>
      </c>
      <c r="P52" s="34">
        <f t="shared" si="0"/>
        <v>0</v>
      </c>
      <c r="S52" s="2"/>
      <c r="V52" s="4"/>
    </row>
    <row r="53" spans="1:22" ht="15" customHeight="1" x14ac:dyDescent="0.55000000000000004">
      <c r="A53" s="43"/>
      <c r="B53" s="44"/>
      <c r="C53" s="45"/>
      <c r="D53" s="23" t="s">
        <v>3</v>
      </c>
      <c r="E53" s="24"/>
      <c r="G53" s="27"/>
      <c r="H53" s="26"/>
      <c r="I53" s="26"/>
      <c r="J53" s="26"/>
      <c r="K53" s="26"/>
      <c r="L53" s="27"/>
      <c r="M53" s="27"/>
      <c r="N53" s="27"/>
      <c r="O53" s="27"/>
      <c r="P53" s="27">
        <f>SUM(F53:O53)</f>
        <v>0</v>
      </c>
      <c r="S53" s="2"/>
      <c r="V53" s="4"/>
    </row>
    <row r="54" spans="1:22" ht="15" customHeight="1" x14ac:dyDescent="0.55000000000000004">
      <c r="A54" s="43"/>
      <c r="B54" s="45"/>
      <c r="C54" s="45"/>
      <c r="D54" s="23" t="s">
        <v>2</v>
      </c>
      <c r="E54" s="24"/>
      <c r="F54" s="26"/>
      <c r="G54" s="26"/>
      <c r="H54" s="26"/>
      <c r="I54" s="26"/>
      <c r="J54" s="26"/>
      <c r="K54" s="26"/>
      <c r="L54" s="27"/>
      <c r="M54" s="27"/>
      <c r="N54" s="27"/>
      <c r="O54" s="26"/>
      <c r="P54" s="27">
        <f t="shared" ref="P54:P84" si="5">SUM(F54:O54)</f>
        <v>0</v>
      </c>
      <c r="S54" s="2"/>
      <c r="V54" s="4"/>
    </row>
    <row r="55" spans="1:22" ht="15" customHeight="1" x14ac:dyDescent="0.55000000000000004">
      <c r="A55" s="43"/>
      <c r="B55" s="45"/>
      <c r="C55" s="45"/>
      <c r="D55" s="23" t="s">
        <v>1</v>
      </c>
      <c r="E55" s="24"/>
      <c r="F55" s="26"/>
      <c r="G55" s="27"/>
      <c r="H55" s="27"/>
      <c r="I55" s="27"/>
      <c r="J55" s="27"/>
      <c r="K55" s="27"/>
      <c r="L55" s="27"/>
      <c r="M55" s="27"/>
      <c r="N55" s="27"/>
      <c r="O55" s="26"/>
      <c r="P55" s="27">
        <f t="shared" si="5"/>
        <v>0</v>
      </c>
      <c r="S55" s="8"/>
      <c r="T55" s="7"/>
      <c r="U55" s="7"/>
      <c r="V55" s="7"/>
    </row>
    <row r="56" spans="1:22" ht="15" customHeight="1" x14ac:dyDescent="0.55000000000000004">
      <c r="A56" s="43"/>
      <c r="B56" s="45"/>
      <c r="C56" s="45"/>
      <c r="D56" s="28" t="s">
        <v>0</v>
      </c>
      <c r="E56" s="33">
        <f>F56/50+G56/55+H56/65+I56/75+J56/85+K56/105+L56/120+M56/150+N56/180+O56/180</f>
        <v>0</v>
      </c>
      <c r="F56" s="35">
        <f t="shared" ref="F56:N56" si="6">F53-F54-F55</f>
        <v>0</v>
      </c>
      <c r="G56" s="35">
        <f t="shared" si="6"/>
        <v>0</v>
      </c>
      <c r="H56" s="35">
        <f t="shared" si="6"/>
        <v>0</v>
      </c>
      <c r="I56" s="35">
        <f t="shared" si="6"/>
        <v>0</v>
      </c>
      <c r="J56" s="35">
        <f t="shared" si="6"/>
        <v>0</v>
      </c>
      <c r="K56" s="35">
        <f t="shared" si="6"/>
        <v>0</v>
      </c>
      <c r="L56" s="35">
        <f t="shared" si="6"/>
        <v>0</v>
      </c>
      <c r="M56" s="35">
        <f t="shared" si="6"/>
        <v>0</v>
      </c>
      <c r="N56" s="35">
        <f t="shared" si="6"/>
        <v>0</v>
      </c>
      <c r="O56" s="35">
        <f>SUM(O53:O55)</f>
        <v>0</v>
      </c>
      <c r="P56" s="34">
        <f t="shared" si="5"/>
        <v>0</v>
      </c>
    </row>
    <row r="57" spans="1:22" ht="15" customHeight="1" x14ac:dyDescent="0.55000000000000004">
      <c r="A57" s="43"/>
      <c r="B57" s="44"/>
      <c r="C57" s="45"/>
      <c r="D57" s="23" t="s">
        <v>3</v>
      </c>
      <c r="E57" s="24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>
        <f t="shared" si="5"/>
        <v>0</v>
      </c>
    </row>
    <row r="58" spans="1:22" ht="15" customHeight="1" x14ac:dyDescent="0.55000000000000004">
      <c r="A58" s="43"/>
      <c r="B58" s="45"/>
      <c r="C58" s="45"/>
      <c r="D58" s="23" t="s">
        <v>2</v>
      </c>
      <c r="E58" s="24"/>
      <c r="F58" s="26"/>
      <c r="G58" s="26"/>
      <c r="H58" s="26"/>
      <c r="I58" s="26"/>
      <c r="J58" s="26"/>
      <c r="K58" s="26"/>
      <c r="L58" s="27"/>
      <c r="M58" s="27"/>
      <c r="N58" s="27"/>
      <c r="O58" s="26"/>
      <c r="P58" s="27">
        <f t="shared" si="5"/>
        <v>0</v>
      </c>
    </row>
    <row r="59" spans="1:22" ht="15" customHeight="1" x14ac:dyDescent="0.55000000000000004">
      <c r="A59" s="43"/>
      <c r="B59" s="45"/>
      <c r="C59" s="45"/>
      <c r="D59" s="23" t="s">
        <v>1</v>
      </c>
      <c r="E59" s="24"/>
      <c r="F59" s="26"/>
      <c r="G59" s="26"/>
      <c r="H59" s="26"/>
      <c r="I59" s="26"/>
      <c r="J59" s="26"/>
      <c r="K59" s="26"/>
      <c r="L59" s="26"/>
      <c r="M59" s="27"/>
      <c r="N59" s="27"/>
      <c r="O59" s="26"/>
      <c r="P59" s="27">
        <f t="shared" si="5"/>
        <v>0</v>
      </c>
    </row>
    <row r="60" spans="1:22" ht="15" customHeight="1" x14ac:dyDescent="0.55000000000000004">
      <c r="A60" s="43"/>
      <c r="B60" s="45"/>
      <c r="C60" s="45"/>
      <c r="D60" s="28" t="s">
        <v>0</v>
      </c>
      <c r="E60" s="33">
        <f>F60/50+G60/55+H60/65+I60/75+J60/85+K60/105+L60/120+M60/150+N60/180+O60/180</f>
        <v>0</v>
      </c>
      <c r="F60" s="35">
        <f t="shared" ref="F60:N60" si="7">F57-F58-F59</f>
        <v>0</v>
      </c>
      <c r="G60" s="35">
        <f t="shared" si="7"/>
        <v>0</v>
      </c>
      <c r="H60" s="35">
        <f t="shared" si="7"/>
        <v>0</v>
      </c>
      <c r="I60" s="35">
        <f t="shared" si="7"/>
        <v>0</v>
      </c>
      <c r="J60" s="35">
        <f t="shared" si="7"/>
        <v>0</v>
      </c>
      <c r="K60" s="35">
        <f t="shared" si="7"/>
        <v>0</v>
      </c>
      <c r="L60" s="35">
        <f t="shared" si="7"/>
        <v>0</v>
      </c>
      <c r="M60" s="35">
        <f t="shared" si="7"/>
        <v>0</v>
      </c>
      <c r="N60" s="35">
        <f t="shared" si="7"/>
        <v>0</v>
      </c>
      <c r="O60" s="35">
        <f>SUM(O57:O59)</f>
        <v>0</v>
      </c>
      <c r="P60" s="34">
        <f t="shared" si="5"/>
        <v>0</v>
      </c>
    </row>
    <row r="61" spans="1:22" ht="15" customHeight="1" x14ac:dyDescent="0.55000000000000004">
      <c r="A61" s="43"/>
      <c r="B61" s="44"/>
      <c r="C61" s="45"/>
      <c r="D61" s="23" t="s">
        <v>3</v>
      </c>
      <c r="E61" s="24"/>
      <c r="F61" s="27"/>
      <c r="G61" s="26"/>
      <c r="H61" s="26"/>
      <c r="I61" s="26"/>
      <c r="J61" s="26"/>
      <c r="K61" s="26"/>
      <c r="L61" s="27"/>
      <c r="M61" s="27"/>
      <c r="N61" s="27"/>
      <c r="O61" s="27"/>
      <c r="P61" s="27">
        <f t="shared" si="5"/>
        <v>0</v>
      </c>
    </row>
    <row r="62" spans="1:22" ht="15" customHeight="1" x14ac:dyDescent="0.55000000000000004">
      <c r="A62" s="43"/>
      <c r="B62" s="45"/>
      <c r="C62" s="45"/>
      <c r="D62" s="23" t="s">
        <v>2</v>
      </c>
      <c r="E62" s="24"/>
      <c r="F62" s="26"/>
      <c r="G62" s="26"/>
      <c r="H62" s="26"/>
      <c r="I62" s="26"/>
      <c r="J62" s="26"/>
      <c r="K62" s="26"/>
      <c r="L62" s="27"/>
      <c r="M62" s="27"/>
      <c r="N62" s="27"/>
      <c r="O62" s="26"/>
      <c r="P62" s="27">
        <f t="shared" si="5"/>
        <v>0</v>
      </c>
    </row>
    <row r="63" spans="1:22" ht="15" customHeight="1" x14ac:dyDescent="0.55000000000000004">
      <c r="A63" s="43"/>
      <c r="B63" s="45"/>
      <c r="C63" s="45"/>
      <c r="D63" s="23" t="s">
        <v>1</v>
      </c>
      <c r="E63" s="24"/>
      <c r="F63" s="26"/>
      <c r="G63" s="26"/>
      <c r="H63" s="26"/>
      <c r="I63" s="26"/>
      <c r="J63" s="26"/>
      <c r="K63" s="26"/>
      <c r="L63" s="27"/>
      <c r="M63" s="27"/>
      <c r="N63" s="27"/>
      <c r="O63" s="26"/>
      <c r="P63" s="27">
        <f t="shared" si="5"/>
        <v>0</v>
      </c>
      <c r="V63" s="4"/>
    </row>
    <row r="64" spans="1:22" ht="15" customHeight="1" x14ac:dyDescent="0.55000000000000004">
      <c r="A64" s="43"/>
      <c r="B64" s="45"/>
      <c r="C64" s="45"/>
      <c r="D64" s="28" t="s">
        <v>0</v>
      </c>
      <c r="E64" s="33">
        <f>SUM(F64:O64)</f>
        <v>0</v>
      </c>
      <c r="F64" s="33">
        <f>F61/51</f>
        <v>0</v>
      </c>
      <c r="G64" s="33">
        <f>G61/51</f>
        <v>0</v>
      </c>
      <c r="H64" s="33">
        <f>H61/66</f>
        <v>0</v>
      </c>
      <c r="I64" s="33">
        <f>I61/76</f>
        <v>0</v>
      </c>
      <c r="J64" s="33">
        <f>J61/86</f>
        <v>0</v>
      </c>
      <c r="K64" s="33">
        <f>K61/106</f>
        <v>0</v>
      </c>
      <c r="L64" s="33">
        <f>L61/121</f>
        <v>0</v>
      </c>
      <c r="M64" s="33">
        <f>M61/150</f>
        <v>0</v>
      </c>
      <c r="N64" s="33">
        <f>N61/150</f>
        <v>0</v>
      </c>
      <c r="O64" s="33">
        <f>SUM(O61:O63)</f>
        <v>0</v>
      </c>
      <c r="P64" s="34">
        <f t="shared" si="5"/>
        <v>0</v>
      </c>
    </row>
    <row r="65" spans="1:26" ht="15" customHeight="1" x14ac:dyDescent="0.55000000000000004">
      <c r="A65" s="43"/>
      <c r="B65" s="44"/>
      <c r="C65" s="45"/>
      <c r="D65" s="23" t="s">
        <v>3</v>
      </c>
      <c r="E65" s="24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>
        <f t="shared" si="5"/>
        <v>0</v>
      </c>
    </row>
    <row r="66" spans="1:26" ht="15" customHeight="1" x14ac:dyDescent="0.55000000000000004">
      <c r="A66" s="43"/>
      <c r="B66" s="45"/>
      <c r="C66" s="45"/>
      <c r="D66" s="23" t="s">
        <v>2</v>
      </c>
      <c r="E66" s="24"/>
      <c r="F66" s="26"/>
      <c r="G66" s="26"/>
      <c r="H66" s="26"/>
      <c r="I66" s="26"/>
      <c r="J66" s="26"/>
      <c r="K66" s="26"/>
      <c r="L66" s="27"/>
      <c r="M66" s="27"/>
      <c r="N66" s="27"/>
      <c r="O66" s="26"/>
      <c r="P66" s="27">
        <f t="shared" si="5"/>
        <v>0</v>
      </c>
    </row>
    <row r="67" spans="1:26" ht="15" customHeight="1" x14ac:dyDescent="0.55000000000000004">
      <c r="A67" s="43"/>
      <c r="B67" s="45"/>
      <c r="C67" s="45"/>
      <c r="D67" s="23" t="s">
        <v>1</v>
      </c>
      <c r="E67" s="24"/>
      <c r="F67" s="26"/>
      <c r="G67" s="26"/>
      <c r="H67" s="26"/>
      <c r="I67" s="26"/>
      <c r="J67" s="26"/>
      <c r="K67" s="26"/>
      <c r="L67" s="27"/>
      <c r="M67" s="27"/>
      <c r="N67" s="27"/>
      <c r="O67" s="26"/>
      <c r="P67" s="27">
        <f t="shared" si="5"/>
        <v>0</v>
      </c>
    </row>
    <row r="68" spans="1:26" ht="15" customHeight="1" x14ac:dyDescent="0.55000000000000004">
      <c r="A68" s="43"/>
      <c r="B68" s="45"/>
      <c r="C68" s="45"/>
      <c r="D68" s="28" t="s">
        <v>0</v>
      </c>
      <c r="E68" s="33">
        <f>F68/50+G68/55+H68/65+I68/75+J68/85+K68/105+L68/120+M68/150+N68/180+O68/180</f>
        <v>0</v>
      </c>
      <c r="F68" s="35">
        <f t="shared" ref="F68:N68" si="8">F65-F66-F67</f>
        <v>0</v>
      </c>
      <c r="G68" s="35">
        <f t="shared" si="8"/>
        <v>0</v>
      </c>
      <c r="H68" s="35">
        <f t="shared" si="8"/>
        <v>0</v>
      </c>
      <c r="I68" s="35">
        <f t="shared" si="8"/>
        <v>0</v>
      </c>
      <c r="J68" s="35">
        <f t="shared" si="8"/>
        <v>0</v>
      </c>
      <c r="K68" s="35">
        <f t="shared" si="8"/>
        <v>0</v>
      </c>
      <c r="L68" s="35">
        <f t="shared" si="8"/>
        <v>0</v>
      </c>
      <c r="M68" s="35">
        <f t="shared" si="8"/>
        <v>0</v>
      </c>
      <c r="N68" s="35">
        <f t="shared" si="8"/>
        <v>0</v>
      </c>
      <c r="O68" s="35">
        <f>SUM(O65:O67)</f>
        <v>0</v>
      </c>
      <c r="P68" s="34">
        <f t="shared" si="5"/>
        <v>0</v>
      </c>
    </row>
    <row r="69" spans="1:26" ht="15" customHeight="1" x14ac:dyDescent="0.55000000000000004">
      <c r="A69" s="43"/>
      <c r="B69" s="44"/>
      <c r="C69" s="45"/>
      <c r="D69" s="23" t="s">
        <v>3</v>
      </c>
      <c r="E69" s="24"/>
      <c r="F69" s="37"/>
      <c r="G69" s="26"/>
      <c r="H69" s="26"/>
      <c r="I69" s="26"/>
      <c r="J69" s="26"/>
      <c r="K69" s="26"/>
      <c r="L69" s="27"/>
      <c r="M69" s="27"/>
      <c r="N69" s="27"/>
      <c r="O69" s="27"/>
      <c r="P69" s="27">
        <f t="shared" si="5"/>
        <v>0</v>
      </c>
    </row>
    <row r="70" spans="1:26" ht="15" customHeight="1" x14ac:dyDescent="0.55000000000000004">
      <c r="A70" s="43"/>
      <c r="B70" s="45"/>
      <c r="C70" s="45"/>
      <c r="D70" s="23" t="s">
        <v>2</v>
      </c>
      <c r="E70" s="24"/>
      <c r="F70" s="26"/>
      <c r="G70" s="26"/>
      <c r="H70" s="26"/>
      <c r="I70" s="26"/>
      <c r="J70" s="26"/>
      <c r="K70" s="26"/>
      <c r="L70" s="27"/>
      <c r="M70" s="27"/>
      <c r="N70" s="27"/>
      <c r="O70" s="26"/>
      <c r="P70" s="27">
        <f t="shared" si="5"/>
        <v>0</v>
      </c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55000000000000004">
      <c r="A71" s="43"/>
      <c r="B71" s="45"/>
      <c r="C71" s="45"/>
      <c r="D71" s="23" t="s">
        <v>1</v>
      </c>
      <c r="E71" s="24"/>
      <c r="F71" s="26"/>
      <c r="G71" s="26"/>
      <c r="H71" s="26"/>
      <c r="I71" s="26"/>
      <c r="J71" s="26"/>
      <c r="K71" s="26"/>
      <c r="L71" s="26"/>
      <c r="M71" s="26"/>
      <c r="N71" s="27"/>
      <c r="O71" s="26"/>
      <c r="P71" s="27">
        <f t="shared" si="5"/>
        <v>0</v>
      </c>
    </row>
    <row r="72" spans="1:26" ht="15" customHeight="1" x14ac:dyDescent="0.55000000000000004">
      <c r="A72" s="43"/>
      <c r="B72" s="45"/>
      <c r="C72" s="45"/>
      <c r="D72" s="28" t="s">
        <v>0</v>
      </c>
      <c r="E72" s="33">
        <f>F72/50+G72/55+H72/65+I72/75+J72/85+K72/105+L72/120+M72/150+N72/180+O72/180</f>
        <v>0</v>
      </c>
      <c r="F72" s="35">
        <f t="shared" ref="F72:N72" si="9">F69-F70-F71</f>
        <v>0</v>
      </c>
      <c r="G72" s="35">
        <f t="shared" si="9"/>
        <v>0</v>
      </c>
      <c r="H72" s="35">
        <f t="shared" si="9"/>
        <v>0</v>
      </c>
      <c r="I72" s="35">
        <f t="shared" si="9"/>
        <v>0</v>
      </c>
      <c r="J72" s="35">
        <f t="shared" si="9"/>
        <v>0</v>
      </c>
      <c r="K72" s="35">
        <f t="shared" si="9"/>
        <v>0</v>
      </c>
      <c r="L72" s="35">
        <f t="shared" si="9"/>
        <v>0</v>
      </c>
      <c r="M72" s="35">
        <f t="shared" si="9"/>
        <v>0</v>
      </c>
      <c r="N72" s="35">
        <f t="shared" si="9"/>
        <v>0</v>
      </c>
      <c r="O72" s="35">
        <f>SUM(O69:O71)</f>
        <v>0</v>
      </c>
      <c r="P72" s="34">
        <f t="shared" si="5"/>
        <v>0</v>
      </c>
    </row>
    <row r="73" spans="1:26" ht="15" customHeight="1" x14ac:dyDescent="0.55000000000000004">
      <c r="A73" s="43"/>
      <c r="B73" s="44"/>
      <c r="C73" s="45"/>
      <c r="D73" s="23" t="s">
        <v>3</v>
      </c>
      <c r="E73" s="24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>
        <f t="shared" si="5"/>
        <v>0</v>
      </c>
    </row>
    <row r="74" spans="1:26" ht="15" customHeight="1" x14ac:dyDescent="0.55000000000000004">
      <c r="A74" s="43"/>
      <c r="B74" s="45"/>
      <c r="C74" s="45"/>
      <c r="D74" s="23" t="s">
        <v>2</v>
      </c>
      <c r="E74" s="24"/>
      <c r="F74" s="26"/>
      <c r="G74" s="26"/>
      <c r="H74" s="26"/>
      <c r="I74" s="26"/>
      <c r="J74" s="26"/>
      <c r="K74" s="26"/>
      <c r="L74" s="27"/>
      <c r="M74" s="27"/>
      <c r="N74" s="27"/>
      <c r="O74" s="26"/>
      <c r="P74" s="27">
        <f t="shared" si="5"/>
        <v>0</v>
      </c>
    </row>
    <row r="75" spans="1:26" ht="15" customHeight="1" x14ac:dyDescent="0.55000000000000004">
      <c r="A75" s="43"/>
      <c r="B75" s="45"/>
      <c r="C75" s="45"/>
      <c r="D75" s="23" t="s">
        <v>1</v>
      </c>
      <c r="E75" s="24"/>
      <c r="F75" s="26"/>
      <c r="G75" s="27"/>
      <c r="H75" s="27"/>
      <c r="I75" s="27"/>
      <c r="J75" s="27"/>
      <c r="K75" s="27"/>
      <c r="L75" s="27"/>
      <c r="M75" s="27"/>
      <c r="N75" s="27"/>
      <c r="O75" s="26"/>
      <c r="P75" s="27">
        <f t="shared" si="5"/>
        <v>0</v>
      </c>
    </row>
    <row r="76" spans="1:26" ht="15" customHeight="1" x14ac:dyDescent="0.55000000000000004">
      <c r="A76" s="43"/>
      <c r="B76" s="45"/>
      <c r="C76" s="45"/>
      <c r="D76" s="28" t="s">
        <v>0</v>
      </c>
      <c r="E76" s="33">
        <f>F76/50+G76/55+H76/65+I76/75+J76/85+K76/105+L76/120+M76/150+N76/180+O76/180</f>
        <v>0</v>
      </c>
      <c r="F76" s="35">
        <f t="shared" ref="F76:N76" si="10">F73-F74-F75</f>
        <v>0</v>
      </c>
      <c r="G76" s="35">
        <f t="shared" si="10"/>
        <v>0</v>
      </c>
      <c r="H76" s="35">
        <f t="shared" si="10"/>
        <v>0</v>
      </c>
      <c r="I76" s="35">
        <f t="shared" si="10"/>
        <v>0</v>
      </c>
      <c r="J76" s="35">
        <f t="shared" si="10"/>
        <v>0</v>
      </c>
      <c r="K76" s="35">
        <f t="shared" si="10"/>
        <v>0</v>
      </c>
      <c r="L76" s="35">
        <f t="shared" si="10"/>
        <v>0</v>
      </c>
      <c r="M76" s="35">
        <f t="shared" si="10"/>
        <v>0</v>
      </c>
      <c r="N76" s="35">
        <f t="shared" si="10"/>
        <v>0</v>
      </c>
      <c r="O76" s="35">
        <f>SUM(O73:O75)</f>
        <v>0</v>
      </c>
      <c r="P76" s="34">
        <f t="shared" si="5"/>
        <v>0</v>
      </c>
    </row>
    <row r="77" spans="1:26" ht="15" customHeight="1" x14ac:dyDescent="0.55000000000000004">
      <c r="A77" s="43"/>
      <c r="B77" s="44"/>
      <c r="C77" s="45"/>
      <c r="D77" s="23" t="s">
        <v>3</v>
      </c>
      <c r="E77" s="24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>
        <f t="shared" si="5"/>
        <v>0</v>
      </c>
    </row>
    <row r="78" spans="1:26" ht="15" customHeight="1" x14ac:dyDescent="0.55000000000000004">
      <c r="A78" s="43"/>
      <c r="B78" s="45"/>
      <c r="C78" s="45"/>
      <c r="D78" s="23" t="s">
        <v>2</v>
      </c>
      <c r="E78" s="24"/>
      <c r="F78" s="26"/>
      <c r="G78" s="26"/>
      <c r="H78" s="26"/>
      <c r="I78" s="26"/>
      <c r="J78" s="26"/>
      <c r="K78" s="26"/>
      <c r="L78" s="27"/>
      <c r="M78" s="27"/>
      <c r="N78" s="27"/>
      <c r="O78" s="26"/>
      <c r="P78" s="27">
        <f t="shared" si="5"/>
        <v>0</v>
      </c>
    </row>
    <row r="79" spans="1:26" ht="15" customHeight="1" x14ac:dyDescent="0.55000000000000004">
      <c r="A79" s="43"/>
      <c r="B79" s="45"/>
      <c r="C79" s="45"/>
      <c r="D79" s="23" t="s">
        <v>1</v>
      </c>
      <c r="E79" s="24"/>
      <c r="F79" s="26"/>
      <c r="G79" s="26"/>
      <c r="H79" s="26"/>
      <c r="I79" s="26"/>
      <c r="J79" s="26"/>
      <c r="K79" s="26"/>
      <c r="L79" s="27"/>
      <c r="M79" s="27"/>
      <c r="N79" s="27"/>
      <c r="O79" s="26"/>
      <c r="P79" s="27">
        <f t="shared" si="5"/>
        <v>0</v>
      </c>
    </row>
    <row r="80" spans="1:26" ht="15" customHeight="1" x14ac:dyDescent="0.55000000000000004">
      <c r="A80" s="43"/>
      <c r="B80" s="45"/>
      <c r="C80" s="45"/>
      <c r="D80" s="28" t="s">
        <v>0</v>
      </c>
      <c r="E80" s="33">
        <f>F80/50+G80/55+H80/65+I80/75+J80/85+K80/105+L80/120+M80/150+N80/180+O80/180</f>
        <v>0</v>
      </c>
      <c r="F80" s="35">
        <f t="shared" ref="F80:N80" si="11">F77-F78-F79</f>
        <v>0</v>
      </c>
      <c r="G80" s="35">
        <f t="shared" si="11"/>
        <v>0</v>
      </c>
      <c r="H80" s="35">
        <f t="shared" si="11"/>
        <v>0</v>
      </c>
      <c r="I80" s="35">
        <f t="shared" si="11"/>
        <v>0</v>
      </c>
      <c r="J80" s="35">
        <f t="shared" si="11"/>
        <v>0</v>
      </c>
      <c r="K80" s="35">
        <f t="shared" si="11"/>
        <v>0</v>
      </c>
      <c r="L80" s="35">
        <f t="shared" si="11"/>
        <v>0</v>
      </c>
      <c r="M80" s="35">
        <f t="shared" si="11"/>
        <v>0</v>
      </c>
      <c r="N80" s="35">
        <f t="shared" si="11"/>
        <v>0</v>
      </c>
      <c r="O80" s="35">
        <f>SUM(O77:O79)</f>
        <v>0</v>
      </c>
      <c r="P80" s="34">
        <f t="shared" si="5"/>
        <v>0</v>
      </c>
    </row>
    <row r="81" spans="1:17" ht="15" customHeight="1" x14ac:dyDescent="0.55000000000000004">
      <c r="A81" s="51" t="s">
        <v>4</v>
      </c>
      <c r="B81" s="51"/>
      <c r="C81" s="51"/>
      <c r="D81" s="23" t="s">
        <v>3</v>
      </c>
      <c r="E81" s="38">
        <f t="shared" ref="E81:N81" si="12">SUM(E5,E9,E13,E17,E21,E25,E29,E33,E37,E41,E45,E49,E53,E57,E61,E65,E69,E73,E77)</f>
        <v>0</v>
      </c>
      <c r="F81" s="39">
        <f>SUM(F5,F9,F13,F17,F21,F25,F29,F33,F37,F41,F45,F49,F53,F57,F61,F65,F69,F73,F77)</f>
        <v>0</v>
      </c>
      <c r="G81" s="39">
        <f t="shared" si="12"/>
        <v>0</v>
      </c>
      <c r="H81" s="39">
        <f t="shared" si="12"/>
        <v>0</v>
      </c>
      <c r="I81" s="39">
        <f t="shared" si="12"/>
        <v>0</v>
      </c>
      <c r="J81" s="39">
        <f t="shared" si="12"/>
        <v>0</v>
      </c>
      <c r="K81" s="39">
        <f t="shared" si="12"/>
        <v>0</v>
      </c>
      <c r="L81" s="39">
        <f t="shared" si="12"/>
        <v>0</v>
      </c>
      <c r="M81" s="39">
        <f t="shared" si="12"/>
        <v>0</v>
      </c>
      <c r="N81" s="39">
        <f t="shared" si="12"/>
        <v>0</v>
      </c>
      <c r="O81" s="39">
        <f>SUM(M5,O9,O13,O17,O21,O25,O29,O33,O37,O41,O45,O49,O53,O57,O61,O65,O69,O73,O77)</f>
        <v>0</v>
      </c>
      <c r="P81" s="38">
        <f t="shared" si="5"/>
        <v>0</v>
      </c>
    </row>
    <row r="82" spans="1:17" ht="15" customHeight="1" x14ac:dyDescent="0.55000000000000004">
      <c r="A82" s="51"/>
      <c r="B82" s="51"/>
      <c r="C82" s="51"/>
      <c r="D82" s="23" t="s">
        <v>2</v>
      </c>
      <c r="E82" s="38">
        <f>SUM(E6,E10,E14,E18,E22,E26,E30,E34,E38,E42,E46,E50,E54,E58,E62,E66,E70,E74,E78)</f>
        <v>0</v>
      </c>
      <c r="F82" s="38">
        <f>SUM(F6,F10,F14,F18,F22,F26,F30,F34,F38,F42,F46,F50,F54,F58,F62,F66,F70,F74,F78)</f>
        <v>0</v>
      </c>
      <c r="G82" s="38">
        <f>SUM(F6,G10,G14,G18,G22,G26,G30,G34,G38,G42,G46,G50,G54,G58,G62,G66,G70,G74,G78)</f>
        <v>0</v>
      </c>
      <c r="H82" s="38">
        <f>SUM(G6,H10,H14,H18,H22,H26,H30,H34,H38,H42,H46,H50,H54,H58,H62,H66,H70,H74,H78)</f>
        <v>0</v>
      </c>
      <c r="I82" s="38">
        <f>SUM(H6,I10,I14,I18,I22,I26,I30,I34,I38,I42,I46,I50,I54,I58,I62,I66,I70,I74,I78)</f>
        <v>0</v>
      </c>
      <c r="J82" s="38">
        <f>SUM(I6,J10,J14,J18,J22,J26,J30,J34,J38,J42,J46,J50,J54,J58,J62,J66,J70,J74,J78)</f>
        <v>0</v>
      </c>
      <c r="K82" s="38">
        <f>SUM(J6,K10,K14,K18,K22,K26,K30,K34,K38,K42,K46,K50,K54,K58,K62,K66,K70,K74,K78)</f>
        <v>0</v>
      </c>
      <c r="L82" s="38">
        <f t="shared" ref="L82:M84" si="13">SUM(L6,L10,L14,L18,L22,L26,L30,L34,L38,L42,L46,L50,L54,L58,L62,L66,L70,L74,L78)</f>
        <v>0</v>
      </c>
      <c r="M82" s="38">
        <f t="shared" si="13"/>
        <v>0</v>
      </c>
      <c r="N82" s="38">
        <f t="shared" ref="N82:O84" si="14">SUM(N6,N10,N14,N18,N22,N26,N30,N34,N38,N42,N46,N50,N54,N58,N62,N66,N70,N74,N78)</f>
        <v>0</v>
      </c>
      <c r="O82" s="39">
        <f t="shared" si="14"/>
        <v>0</v>
      </c>
      <c r="P82" s="38">
        <f t="shared" si="5"/>
        <v>0</v>
      </c>
    </row>
    <row r="83" spans="1:17" ht="15" customHeight="1" x14ac:dyDescent="0.55000000000000004">
      <c r="A83" s="51"/>
      <c r="B83" s="51"/>
      <c r="C83" s="51"/>
      <c r="D83" s="23" t="s">
        <v>1</v>
      </c>
      <c r="E83" s="38">
        <f>SUM(E7,E11,E15,E19,E23,E27,E31,E35,E39,E43,E47,E51,E55,E59,E63,E67,E71,E75,E79)</f>
        <v>0</v>
      </c>
      <c r="F83" s="38">
        <f>SUM(F7,F11,E15,F19,F23,F27,F31,F35,F39,F43,F47,F51,F55,F59,F63,F67,F71,F75,F79)</f>
        <v>0</v>
      </c>
      <c r="G83" s="38">
        <f t="shared" ref="G83:K84" si="15">SUM(G7,G11,G15,G19,G23,G27,G31,G35,G39,G43,G47,G51,G55,G59,G63,G67,G71,G75,G79)</f>
        <v>0</v>
      </c>
      <c r="H83" s="38">
        <f t="shared" si="15"/>
        <v>0</v>
      </c>
      <c r="I83" s="38">
        <f t="shared" si="15"/>
        <v>0</v>
      </c>
      <c r="J83" s="38">
        <f t="shared" si="15"/>
        <v>0</v>
      </c>
      <c r="K83" s="38">
        <f t="shared" si="15"/>
        <v>0</v>
      </c>
      <c r="L83" s="38">
        <f t="shared" si="13"/>
        <v>0</v>
      </c>
      <c r="M83" s="38">
        <f t="shared" si="13"/>
        <v>0</v>
      </c>
      <c r="N83" s="38">
        <f t="shared" si="14"/>
        <v>0</v>
      </c>
      <c r="O83" s="39">
        <f t="shared" si="14"/>
        <v>0</v>
      </c>
      <c r="P83" s="38">
        <f t="shared" si="5"/>
        <v>0</v>
      </c>
    </row>
    <row r="84" spans="1:17" ht="15" customHeight="1" x14ac:dyDescent="0.55000000000000004">
      <c r="A84" s="51"/>
      <c r="B84" s="51"/>
      <c r="C84" s="51"/>
      <c r="D84" s="28" t="s">
        <v>0</v>
      </c>
      <c r="E84" s="38">
        <f>SUM(E8,E12,E16,E20,E24,E28,E32,E36,E40,E44,E48,E52,E56,E60,E64,E68,E72,E76,E80)</f>
        <v>0</v>
      </c>
      <c r="F84" s="38">
        <f>SUM(F8,F12,F16,F20,F24,F28,F32,F36,F40,F44,F48,F52,F56,F60,F64,F68,F72,F76,F80)</f>
        <v>0</v>
      </c>
      <c r="G84" s="38">
        <f t="shared" si="15"/>
        <v>0</v>
      </c>
      <c r="H84" s="38">
        <f t="shared" si="15"/>
        <v>0</v>
      </c>
      <c r="I84" s="38">
        <f t="shared" si="15"/>
        <v>0</v>
      </c>
      <c r="J84" s="38">
        <f t="shared" si="15"/>
        <v>0</v>
      </c>
      <c r="K84" s="38">
        <f t="shared" si="15"/>
        <v>0</v>
      </c>
      <c r="L84" s="38">
        <f t="shared" si="13"/>
        <v>0</v>
      </c>
      <c r="M84" s="38">
        <f t="shared" si="13"/>
        <v>0</v>
      </c>
      <c r="N84" s="38">
        <f t="shared" si="14"/>
        <v>0</v>
      </c>
      <c r="O84" s="39">
        <f t="shared" si="14"/>
        <v>0</v>
      </c>
      <c r="P84" s="38">
        <f t="shared" si="5"/>
        <v>0</v>
      </c>
      <c r="Q84" s="5"/>
    </row>
    <row r="85" spans="1:17" ht="18.75" customHeight="1" x14ac:dyDescent="0.55000000000000004">
      <c r="H85" s="3"/>
      <c r="I85" s="3"/>
      <c r="J85" s="3"/>
      <c r="K85" s="3"/>
      <c r="L85" s="41"/>
      <c r="M85" s="3"/>
      <c r="P85" s="3"/>
      <c r="Q85" s="4"/>
    </row>
    <row r="86" spans="1:17" x14ac:dyDescent="0.55000000000000004">
      <c r="F86" s="41"/>
      <c r="H86" s="41"/>
      <c r="I86" s="41"/>
      <c r="J86" s="41"/>
      <c r="K86" s="41"/>
      <c r="L86" s="41"/>
      <c r="M86" s="41"/>
      <c r="N86" s="41"/>
      <c r="P86" s="41"/>
      <c r="Q86" s="5"/>
    </row>
    <row r="87" spans="1:17" x14ac:dyDescent="0.55000000000000004">
      <c r="H87" s="3"/>
      <c r="I87" s="3"/>
      <c r="J87" s="3"/>
      <c r="K87" s="3"/>
      <c r="L87" s="3"/>
      <c r="M87" s="3"/>
    </row>
    <row r="88" spans="1:17" x14ac:dyDescent="0.55000000000000004">
      <c r="E88" s="2"/>
      <c r="F88" s="41"/>
      <c r="G88" s="41"/>
      <c r="H88" s="41"/>
      <c r="I88" s="41"/>
      <c r="J88" s="41"/>
      <c r="K88" s="41"/>
      <c r="L88" s="3"/>
      <c r="M88" s="3"/>
      <c r="N88" s="3"/>
    </row>
    <row r="89" spans="1:17" x14ac:dyDescent="0.55000000000000004">
      <c r="E89" s="2"/>
      <c r="F89" s="2"/>
      <c r="H89" s="3"/>
      <c r="I89" s="3"/>
      <c r="J89" s="3"/>
      <c r="K89" s="3"/>
      <c r="L89" s="3"/>
      <c r="M89" s="3"/>
    </row>
    <row r="90" spans="1:17" x14ac:dyDescent="0.55000000000000004">
      <c r="E90" s="1"/>
      <c r="F90" s="1"/>
      <c r="G90" s="1"/>
      <c r="H90" s="1"/>
      <c r="I90" s="5"/>
      <c r="J90" s="5"/>
      <c r="K90" s="5"/>
      <c r="L90" s="1"/>
      <c r="M90" s="3"/>
    </row>
    <row r="91" spans="1:17" x14ac:dyDescent="0.55000000000000004">
      <c r="E91" s="1"/>
      <c r="F91" s="1"/>
      <c r="G91" s="1"/>
      <c r="H91" s="1"/>
      <c r="I91" s="1"/>
      <c r="J91" s="1"/>
      <c r="K91" s="1"/>
      <c r="L91" s="4"/>
    </row>
    <row r="92" spans="1:17" x14ac:dyDescent="0.55000000000000004">
      <c r="E92" s="1"/>
      <c r="F92" s="1"/>
      <c r="G92" s="1"/>
      <c r="H92" s="1"/>
      <c r="I92" s="1"/>
      <c r="J92" s="1"/>
      <c r="K92" s="1"/>
      <c r="L92" s="3"/>
      <c r="M92" s="3"/>
      <c r="N92" s="3"/>
    </row>
    <row r="93" spans="1:17" x14ac:dyDescent="0.55000000000000004">
      <c r="E93" s="1"/>
      <c r="F93" s="1"/>
      <c r="G93" s="1"/>
      <c r="H93" s="1"/>
      <c r="I93" s="1"/>
      <c r="J93" s="1"/>
      <c r="K93" s="1"/>
      <c r="L93" s="1"/>
      <c r="N93" s="3"/>
      <c r="O93" s="3"/>
      <c r="P93" s="3"/>
    </row>
    <row r="94" spans="1:17" x14ac:dyDescent="0.55000000000000004">
      <c r="E94" s="1"/>
      <c r="F94" s="1"/>
      <c r="G94" s="1"/>
      <c r="H94" s="1"/>
      <c r="I94" s="1"/>
      <c r="J94" s="1"/>
      <c r="K94" s="1"/>
      <c r="L94" s="4"/>
      <c r="M94" s="4"/>
      <c r="N94" s="4"/>
      <c r="O94" s="4"/>
      <c r="P94" s="4"/>
    </row>
    <row r="95" spans="1:17" x14ac:dyDescent="0.55000000000000004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7" x14ac:dyDescent="0.55000000000000004">
      <c r="E96" s="1"/>
      <c r="F96" s="1"/>
      <c r="G96" s="1"/>
      <c r="H96" s="1"/>
      <c r="I96" s="1"/>
      <c r="J96" s="1"/>
      <c r="K96" s="1"/>
      <c r="L96" s="3"/>
      <c r="M96" s="3"/>
    </row>
    <row r="97" spans="5:19" x14ac:dyDescent="0.55000000000000004">
      <c r="E97" s="2"/>
      <c r="F97" s="2"/>
      <c r="G97" s="2"/>
    </row>
    <row r="98" spans="5:19" x14ac:dyDescent="0.55000000000000004">
      <c r="E98" s="1"/>
      <c r="F98" s="1"/>
      <c r="G98" s="1"/>
      <c r="H98" s="1"/>
      <c r="J98" s="3"/>
      <c r="K98" s="3"/>
    </row>
    <row r="99" spans="5:19" x14ac:dyDescent="0.55000000000000004">
      <c r="E99" s="1"/>
      <c r="F99" s="1"/>
      <c r="G99" s="1"/>
      <c r="H99" s="1"/>
      <c r="I99" s="1"/>
      <c r="J99" s="1"/>
      <c r="K99" s="1"/>
      <c r="L99" s="3"/>
      <c r="M99" s="3"/>
      <c r="N99" s="3"/>
      <c r="O99" s="3"/>
      <c r="P99" s="3"/>
      <c r="Q99" s="3"/>
      <c r="R99" s="3"/>
      <c r="S99" s="3"/>
    </row>
    <row r="100" spans="5:19" x14ac:dyDescent="0.55000000000000004">
      <c r="F100" s="40"/>
      <c r="G100" s="40"/>
      <c r="H100" s="40"/>
      <c r="I100" s="40"/>
      <c r="J100" s="40"/>
      <c r="K100" s="40"/>
      <c r="L100" s="40"/>
      <c r="M100" s="40"/>
      <c r="N100" s="40"/>
    </row>
    <row r="101" spans="5:19" x14ac:dyDescent="0.55000000000000004">
      <c r="F101" s="40"/>
      <c r="G101" s="40"/>
      <c r="H101" s="40"/>
      <c r="I101" s="40"/>
      <c r="J101" s="40"/>
      <c r="K101" s="40"/>
    </row>
    <row r="102" spans="5:19" x14ac:dyDescent="0.55000000000000004">
      <c r="E102" s="1"/>
      <c r="F102" s="1"/>
      <c r="G102" s="1"/>
      <c r="H102" s="1"/>
      <c r="I102" s="1"/>
      <c r="J102" s="1"/>
      <c r="K102" s="1"/>
    </row>
    <row r="109" spans="5:19" x14ac:dyDescent="0.55000000000000004">
      <c r="H109" s="3"/>
      <c r="I109" s="3"/>
      <c r="J109" s="3"/>
      <c r="K109" s="3"/>
      <c r="L109" s="3"/>
    </row>
  </sheetData>
  <dataConsolidate/>
  <mergeCells count="67">
    <mergeCell ref="A77:A80"/>
    <mergeCell ref="B77:B80"/>
    <mergeCell ref="C77:C80"/>
    <mergeCell ref="A81:C84"/>
    <mergeCell ref="A69:A72"/>
    <mergeCell ref="B69:B72"/>
    <mergeCell ref="C69:C72"/>
    <mergeCell ref="A73:A76"/>
    <mergeCell ref="B73:B76"/>
    <mergeCell ref="C73:C76"/>
    <mergeCell ref="A61:A64"/>
    <mergeCell ref="B61:B64"/>
    <mergeCell ref="C61:C64"/>
    <mergeCell ref="A65:A68"/>
    <mergeCell ref="B65:B68"/>
    <mergeCell ref="C65:C68"/>
    <mergeCell ref="A53:A56"/>
    <mergeCell ref="B53:B56"/>
    <mergeCell ref="C53:C56"/>
    <mergeCell ref="A57:A60"/>
    <mergeCell ref="B57:B60"/>
    <mergeCell ref="C57:C60"/>
    <mergeCell ref="A45:A48"/>
    <mergeCell ref="B45:B48"/>
    <mergeCell ref="C45:C48"/>
    <mergeCell ref="A49:A52"/>
    <mergeCell ref="B49:B52"/>
    <mergeCell ref="C49:C52"/>
    <mergeCell ref="A37:A40"/>
    <mergeCell ref="B37:B40"/>
    <mergeCell ref="C37:C40"/>
    <mergeCell ref="A41:A44"/>
    <mergeCell ref="B41:B44"/>
    <mergeCell ref="C41:C44"/>
    <mergeCell ref="A29:A32"/>
    <mergeCell ref="B29:B32"/>
    <mergeCell ref="C29:C32"/>
    <mergeCell ref="A33:A36"/>
    <mergeCell ref="B33:B36"/>
    <mergeCell ref="C33:C36"/>
    <mergeCell ref="A21:A24"/>
    <mergeCell ref="B21:B24"/>
    <mergeCell ref="C21:C24"/>
    <mergeCell ref="A25:A28"/>
    <mergeCell ref="B25:B28"/>
    <mergeCell ref="C25:C28"/>
    <mergeCell ref="A13:A16"/>
    <mergeCell ref="B13:B16"/>
    <mergeCell ref="C13:C16"/>
    <mergeCell ref="A17:A20"/>
    <mergeCell ref="B17:B20"/>
    <mergeCell ref="C17:C20"/>
    <mergeCell ref="O2:O3"/>
    <mergeCell ref="P2:P3"/>
    <mergeCell ref="A5:A8"/>
    <mergeCell ref="B5:B8"/>
    <mergeCell ref="C5:C8"/>
    <mergeCell ref="L2:L3"/>
    <mergeCell ref="M2:M3"/>
    <mergeCell ref="N2:N3"/>
    <mergeCell ref="A9:A12"/>
    <mergeCell ref="B9:B12"/>
    <mergeCell ref="C9:C12"/>
    <mergeCell ref="A1:F1"/>
    <mergeCell ref="K1:K3"/>
    <mergeCell ref="A2:F2"/>
    <mergeCell ref="G1:J2"/>
  </mergeCells>
  <phoneticPr fontId="3" type="noConversion"/>
  <pageMargins left="0.51181102362204722" right="0.11811023622047245" top="0.9055118110236221" bottom="0.19685039370078741" header="0.31496062992125984" footer="0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고당, 당도</vt:lpstr>
      <vt:lpstr>'고당, 당도'!Print_Area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민성 손</cp:lastModifiedBy>
  <cp:lastPrinted>2025-07-16T06:13:02Z</cp:lastPrinted>
  <dcterms:created xsi:type="dcterms:W3CDTF">2025-04-16T01:11:14Z</dcterms:created>
  <dcterms:modified xsi:type="dcterms:W3CDTF">2025-08-04T08:48:24Z</dcterms:modified>
</cp:coreProperties>
</file>