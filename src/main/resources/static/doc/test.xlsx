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F3B3575A-9246-4749-B690-C9A8ADC2BF6D}" xr6:coauthVersionLast="47" xr6:coauthVersionMax="47" xr10:uidLastSave="{00000000-0000-0000-0000-000000000000}"/>
  <bookViews>
    <workbookView xWindow="-120" yWindow="-120" windowWidth="22183" windowHeight="13234" tabRatio="595" firstSheet="1" activeTab="7" xr2:uid="{00000000-000D-0000-FFFF-FFFF00000000}"/>
  </bookViews>
  <sheets>
    <sheet name="CT박스 증감율" sheetId="436" r:id="rId1"/>
    <sheet name="시판" sheetId="437" r:id="rId2"/>
    <sheet name="영진상회" sheetId="438" r:id="rId3"/>
    <sheet name="일일출하량" sheetId="439" r:id="rId4"/>
    <sheet name="자연인" sheetId="440" r:id="rId5"/>
    <sheet name="한국온라인" sheetId="441" r:id="rId6"/>
    <sheet name="한국청과" sheetId="442" r:id="rId7"/>
    <sheet name="한국청과파레트송품장" sheetId="443" r:id="rId8"/>
  </sheets>
  <definedNames>
    <definedName name="_xlnm.Print_Area" localSheetId="7">한국청과파레트송품장!$A$1:$N$46</definedName>
  </definedNames>
  <calcPr calcId="191029" iterateDelta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443" l="1"/>
  <c r="C7" i="443" s="1"/>
  <c r="M11" i="443"/>
  <c r="M12" i="443"/>
  <c r="M13" i="443"/>
  <c r="M14" i="443"/>
  <c r="M15" i="443"/>
  <c r="M16" i="443"/>
  <c r="M17" i="443"/>
  <c r="M18" i="443"/>
  <c r="M19" i="443"/>
  <c r="M20" i="443"/>
  <c r="M21" i="443"/>
  <c r="M22" i="443"/>
  <c r="M23" i="443"/>
  <c r="M24" i="443"/>
  <c r="M25" i="443"/>
  <c r="M26" i="443"/>
  <c r="M27" i="443"/>
  <c r="M28" i="443"/>
  <c r="M29" i="443"/>
  <c r="M30" i="443"/>
  <c r="M31" i="443"/>
  <c r="M32" i="443"/>
  <c r="M33" i="443"/>
  <c r="G34" i="443"/>
  <c r="H34" i="443"/>
  <c r="I34" i="443"/>
  <c r="J34" i="443"/>
  <c r="K34" i="443"/>
  <c r="L34" i="443"/>
  <c r="D7" i="442"/>
  <c r="D8" i="442"/>
  <c r="D15" i="442"/>
  <c r="D5" i="442" s="1"/>
  <c r="D18" i="442"/>
  <c r="D21" i="442"/>
  <c r="D24" i="442"/>
  <c r="D27" i="442"/>
  <c r="D30" i="442"/>
  <c r="D34" i="442"/>
  <c r="D40" i="442"/>
  <c r="D43" i="442"/>
  <c r="D48" i="442"/>
  <c r="D51" i="442"/>
  <c r="D54" i="442"/>
  <c r="D58" i="442"/>
  <c r="D63" i="442"/>
  <c r="D67" i="442"/>
  <c r="D76" i="442"/>
  <c r="D84" i="442"/>
  <c r="D92" i="442"/>
  <c r="D6" i="442" s="1"/>
  <c r="D100" i="442"/>
  <c r="D106" i="442"/>
  <c r="D109" i="442"/>
  <c r="D115" i="442"/>
  <c r="D124" i="442"/>
  <c r="D132" i="442"/>
  <c r="E5" i="441"/>
  <c r="E31" i="441" s="1"/>
  <c r="J5" i="441"/>
  <c r="E6" i="441"/>
  <c r="J6" i="441"/>
  <c r="E7" i="441"/>
  <c r="J7" i="441"/>
  <c r="E8" i="441"/>
  <c r="J8" i="441"/>
  <c r="E9" i="441"/>
  <c r="J9" i="441"/>
  <c r="J31" i="441" s="1"/>
  <c r="E10" i="441"/>
  <c r="J10" i="441"/>
  <c r="E11" i="441"/>
  <c r="J11" i="441"/>
  <c r="E12" i="441"/>
  <c r="J12" i="441"/>
  <c r="E13" i="441"/>
  <c r="J13" i="441"/>
  <c r="E14" i="441"/>
  <c r="J14" i="441"/>
  <c r="E15" i="441"/>
  <c r="J15" i="441"/>
  <c r="E16" i="441"/>
  <c r="J16" i="441"/>
  <c r="E17" i="441"/>
  <c r="J17" i="441"/>
  <c r="E18" i="441"/>
  <c r="J18" i="441"/>
  <c r="E19" i="441"/>
  <c r="J19" i="441"/>
  <c r="E20" i="441"/>
  <c r="J20" i="441"/>
  <c r="E21" i="441"/>
  <c r="J21" i="441"/>
  <c r="E22" i="441"/>
  <c r="J22" i="441"/>
  <c r="E23" i="441"/>
  <c r="J23" i="441"/>
  <c r="E24" i="441"/>
  <c r="J24" i="441"/>
  <c r="E25" i="441"/>
  <c r="J25" i="441"/>
  <c r="E26" i="441"/>
  <c r="J26" i="441"/>
  <c r="E27" i="441"/>
  <c r="J27" i="441"/>
  <c r="E28" i="441"/>
  <c r="J28" i="441"/>
  <c r="E29" i="441"/>
  <c r="J29" i="441"/>
  <c r="E30" i="441"/>
  <c r="J30" i="441"/>
  <c r="C31" i="441"/>
  <c r="H31" i="441"/>
  <c r="C32" i="441"/>
  <c r="E5" i="440"/>
  <c r="E31" i="440" s="1"/>
  <c r="E32" i="440" s="1"/>
  <c r="J5" i="440"/>
  <c r="J31" i="440" s="1"/>
  <c r="E6" i="440"/>
  <c r="J6" i="440"/>
  <c r="E7" i="440"/>
  <c r="J7" i="440"/>
  <c r="E8" i="440"/>
  <c r="J8" i="440"/>
  <c r="E9" i="440"/>
  <c r="J9" i="440"/>
  <c r="E10" i="440"/>
  <c r="J10" i="440"/>
  <c r="E11" i="440"/>
  <c r="J11" i="440"/>
  <c r="E12" i="440"/>
  <c r="J12" i="440"/>
  <c r="E13" i="440"/>
  <c r="J13" i="440"/>
  <c r="E14" i="440"/>
  <c r="J14" i="440"/>
  <c r="E15" i="440"/>
  <c r="J15" i="440"/>
  <c r="E16" i="440"/>
  <c r="J16" i="440"/>
  <c r="E17" i="440"/>
  <c r="J17" i="440"/>
  <c r="E18" i="440"/>
  <c r="J18" i="440"/>
  <c r="E19" i="440"/>
  <c r="J19" i="440"/>
  <c r="E20" i="440"/>
  <c r="J20" i="440"/>
  <c r="E21" i="440"/>
  <c r="J21" i="440"/>
  <c r="E22" i="440"/>
  <c r="J22" i="440"/>
  <c r="E23" i="440"/>
  <c r="J23" i="440"/>
  <c r="E24" i="440"/>
  <c r="J24" i="440"/>
  <c r="E25" i="440"/>
  <c r="J25" i="440"/>
  <c r="E26" i="440"/>
  <c r="J26" i="440"/>
  <c r="E27" i="440"/>
  <c r="J27" i="440"/>
  <c r="E28" i="440"/>
  <c r="J28" i="440"/>
  <c r="E29" i="440"/>
  <c r="J29" i="440"/>
  <c r="E30" i="440"/>
  <c r="J30" i="440"/>
  <c r="C31" i="440"/>
  <c r="H31" i="440"/>
  <c r="C32" i="440"/>
  <c r="B5" i="439"/>
  <c r="C5" i="439"/>
  <c r="D5" i="439"/>
  <c r="E5" i="439"/>
  <c r="F5" i="439"/>
  <c r="G5" i="439"/>
  <c r="H5" i="439"/>
  <c r="I5" i="439"/>
  <c r="J5" i="439"/>
  <c r="K5" i="439"/>
  <c r="L5" i="439"/>
  <c r="M5" i="439"/>
  <c r="N5" i="439"/>
  <c r="O7" i="439"/>
  <c r="O8" i="439"/>
  <c r="O5" i="439" s="1"/>
  <c r="O9" i="439"/>
  <c r="O10" i="439"/>
  <c r="O11" i="439"/>
  <c r="O12" i="439"/>
  <c r="O13" i="439"/>
  <c r="O14" i="439"/>
  <c r="O15" i="439"/>
  <c r="O16" i="439"/>
  <c r="O17" i="439"/>
  <c r="O18" i="439"/>
  <c r="O19" i="439"/>
  <c r="O20" i="439"/>
  <c r="O21" i="439"/>
  <c r="O22" i="439"/>
  <c r="O23" i="439"/>
  <c r="O24" i="439"/>
  <c r="O25" i="439"/>
  <c r="O26" i="439"/>
  <c r="N27" i="439"/>
  <c r="M34" i="443" l="1"/>
  <c r="G7" i="443" s="1"/>
  <c r="D9" i="442"/>
  <c r="E32" i="441"/>
  <c r="B6" i="439"/>
  <c r="C6" i="439"/>
  <c r="O31" i="439"/>
  <c r="M31" i="439"/>
  <c r="J31" i="439"/>
  <c r="H31" i="439"/>
  <c r="J6" i="439"/>
  <c r="I6" i="439"/>
  <c r="H6" i="439"/>
  <c r="G6" i="439"/>
  <c r="F6" i="439"/>
  <c r="E6" i="439"/>
  <c r="D6" i="439"/>
  <c r="N6" i="439"/>
  <c r="M6" i="439"/>
  <c r="O30" i="439"/>
  <c r="L6" i="439"/>
  <c r="K6" i="439"/>
  <c r="F31" i="439"/>
  <c r="D31" i="439"/>
  <c r="B31" i="439"/>
  <c r="E5" i="438"/>
  <c r="J5" i="438"/>
  <c r="E6" i="438"/>
  <c r="J6" i="438"/>
  <c r="E7" i="438"/>
  <c r="E30" i="438" s="1"/>
  <c r="J7" i="438"/>
  <c r="E8" i="438"/>
  <c r="J8" i="438"/>
  <c r="E9" i="438"/>
  <c r="J9" i="438"/>
  <c r="J30" i="438" s="1"/>
  <c r="E10" i="438"/>
  <c r="J10" i="438"/>
  <c r="E11" i="438"/>
  <c r="J11" i="438"/>
  <c r="E12" i="438"/>
  <c r="J12" i="438"/>
  <c r="E13" i="438"/>
  <c r="J13" i="438"/>
  <c r="E14" i="438"/>
  <c r="J14" i="438"/>
  <c r="E15" i="438"/>
  <c r="J15" i="438"/>
  <c r="E16" i="438"/>
  <c r="J16" i="438"/>
  <c r="E17" i="438"/>
  <c r="J17" i="438"/>
  <c r="E18" i="438"/>
  <c r="J18" i="438"/>
  <c r="E19" i="438"/>
  <c r="J19" i="438"/>
  <c r="E20" i="438"/>
  <c r="J20" i="438"/>
  <c r="E21" i="438"/>
  <c r="J21" i="438"/>
  <c r="E22" i="438"/>
  <c r="J22" i="438"/>
  <c r="E23" i="438"/>
  <c r="J23" i="438"/>
  <c r="E24" i="438"/>
  <c r="J24" i="438"/>
  <c r="E25" i="438"/>
  <c r="J25" i="438"/>
  <c r="E26" i="438"/>
  <c r="J26" i="438"/>
  <c r="E27" i="438"/>
  <c r="J27" i="438"/>
  <c r="E28" i="438"/>
  <c r="J28" i="438"/>
  <c r="E29" i="438"/>
  <c r="J29" i="438"/>
  <c r="C30" i="438"/>
  <c r="C31" i="438" s="1"/>
  <c r="H30" i="438"/>
  <c r="E5" i="437"/>
  <c r="E31" i="437" s="1"/>
  <c r="E6" i="437"/>
  <c r="E7" i="437"/>
  <c r="E8" i="437"/>
  <c r="E9" i="437"/>
  <c r="E10" i="437"/>
  <c r="E11" i="437"/>
  <c r="E12" i="437"/>
  <c r="E13" i="437"/>
  <c r="E14" i="437"/>
  <c r="E15" i="437"/>
  <c r="E16" i="437"/>
  <c r="E17" i="437"/>
  <c r="E18" i="437"/>
  <c r="E19" i="437"/>
  <c r="E20" i="437"/>
  <c r="E21" i="437"/>
  <c r="E22" i="437"/>
  <c r="E23" i="437"/>
  <c r="E24" i="437"/>
  <c r="E25" i="437"/>
  <c r="E26" i="437"/>
  <c r="E27" i="437"/>
  <c r="E28" i="437"/>
  <c r="E29" i="437"/>
  <c r="E30" i="437"/>
  <c r="C31" i="437"/>
  <c r="E32" i="436"/>
  <c r="D32" i="436"/>
  <c r="F31" i="436"/>
  <c r="G31" i="436" s="1"/>
  <c r="F30" i="436"/>
  <c r="G30" i="436" s="1"/>
  <c r="F29" i="436"/>
  <c r="G29" i="436" s="1"/>
  <c r="F28" i="436"/>
  <c r="G28" i="436" s="1"/>
  <c r="F27" i="436"/>
  <c r="G27" i="436" s="1"/>
  <c r="F26" i="436"/>
  <c r="G26" i="436" s="1"/>
  <c r="F25" i="436"/>
  <c r="G25" i="436" s="1"/>
  <c r="F24" i="436"/>
  <c r="G24" i="436" s="1"/>
  <c r="F23" i="436"/>
  <c r="G23" i="436" s="1"/>
  <c r="F22" i="436"/>
  <c r="G22" i="436" s="1"/>
  <c r="F21" i="436"/>
  <c r="G21" i="436" s="1"/>
  <c r="F20" i="436"/>
  <c r="G20" i="436" s="1"/>
  <c r="F19" i="436"/>
  <c r="G19" i="436" s="1"/>
  <c r="F18" i="436"/>
  <c r="G18" i="436" s="1"/>
  <c r="F17" i="436"/>
  <c r="G17" i="436" s="1"/>
  <c r="F16" i="436"/>
  <c r="G16" i="436" s="1"/>
  <c r="F15" i="436"/>
  <c r="G15" i="436" s="1"/>
  <c r="F14" i="436"/>
  <c r="G14" i="436" s="1"/>
  <c r="F13" i="436"/>
  <c r="G13" i="436" s="1"/>
  <c r="F12" i="436"/>
  <c r="G12" i="436" s="1"/>
  <c r="F11" i="436"/>
  <c r="G11" i="436" s="1"/>
  <c r="F10" i="436"/>
  <c r="G10" i="436" s="1"/>
  <c r="F9" i="436"/>
  <c r="G9" i="436" s="1"/>
  <c r="F8" i="436"/>
  <c r="G8" i="436" s="1"/>
  <c r="F7" i="436"/>
  <c r="O6" i="439" l="1"/>
  <c r="E31" i="438"/>
  <c r="F32" i="436"/>
  <c r="G32" i="436" s="1"/>
  <c r="G7" i="436"/>
</calcChain>
</file>

<file path=xl/sharedStrings.xml><?xml version="1.0" encoding="utf-8"?>
<sst xmlns="http://schemas.openxmlformats.org/spreadsheetml/2006/main" count="635" uniqueCount="167">
  <si>
    <t>회사명 : 상주원예영농조합법인</t>
  </si>
  <si>
    <t>종이박스</t>
    <phoneticPr fontId="2" type="noConversion"/>
  </si>
  <si>
    <t>증감량</t>
  </si>
  <si>
    <t>증감율(%)</t>
  </si>
  <si>
    <t>C/T박스</t>
    <phoneticPr fontId="2" type="noConversion"/>
  </si>
  <si>
    <t>합   계</t>
  </si>
  <si>
    <t>날   짜</t>
    <phoneticPr fontId="2" type="noConversion"/>
  </si>
  <si>
    <t>산출량</t>
    <phoneticPr fontId="2" type="noConversion"/>
  </si>
  <si>
    <t>순번</t>
    <phoneticPr fontId="2" type="noConversion"/>
  </si>
  <si>
    <t>생산자</t>
    <phoneticPr fontId="2" type="noConversion"/>
  </si>
  <si>
    <t>입 고 량</t>
    <phoneticPr fontId="2" type="noConversion"/>
  </si>
  <si>
    <t>담당자 : 주임 이한민</t>
    <phoneticPr fontId="2" type="noConversion"/>
  </si>
  <si>
    <t>2024/25년 B동 공동선별사업 C/T박스 대비 종이박스 증감율</t>
    <phoneticPr fontId="2" type="noConversion"/>
  </si>
  <si>
    <t>5월 16일</t>
    <phoneticPr fontId="2" type="noConversion"/>
  </si>
  <si>
    <t>계좌이체</t>
    <phoneticPr fontId="8" type="noConversion"/>
  </si>
  <si>
    <t>현금</t>
    <phoneticPr fontId="8" type="noConversion"/>
  </si>
  <si>
    <t>미수</t>
    <phoneticPr fontId="8" type="noConversion"/>
  </si>
  <si>
    <t>총금액</t>
    <phoneticPr fontId="8" type="noConversion"/>
  </si>
  <si>
    <t>합     계</t>
    <phoneticPr fontId="8" type="noConversion"/>
  </si>
  <si>
    <t>하</t>
    <phoneticPr fontId="2" type="noConversion"/>
  </si>
  <si>
    <t>하</t>
    <phoneticPr fontId="8" type="noConversion"/>
  </si>
  <si>
    <t>중</t>
    <phoneticPr fontId="2" type="noConversion"/>
  </si>
  <si>
    <t>중</t>
    <phoneticPr fontId="8" type="noConversion"/>
  </si>
  <si>
    <t>청특상</t>
    <phoneticPr fontId="8" type="noConversion"/>
  </si>
  <si>
    <t>가로적</t>
    <phoneticPr fontId="8" type="noConversion"/>
  </si>
  <si>
    <t>계좌(전혁윤)</t>
    <phoneticPr fontId="8" type="noConversion"/>
  </si>
  <si>
    <t>계좌(이주영과장님)</t>
    <phoneticPr fontId="8" type="noConversion"/>
  </si>
  <si>
    <t>계좌(최성혜)</t>
    <phoneticPr fontId="8" type="noConversion"/>
  </si>
  <si>
    <t>결제방식</t>
    <phoneticPr fontId="8" type="noConversion"/>
  </si>
  <si>
    <t>판매금액</t>
    <phoneticPr fontId="8" type="noConversion"/>
  </si>
  <si>
    <t>판매단가</t>
    <phoneticPr fontId="8" type="noConversion"/>
  </si>
  <si>
    <t>수량</t>
    <phoneticPr fontId="8" type="noConversion"/>
  </si>
  <si>
    <t>등 급</t>
    <phoneticPr fontId="12" type="noConversion"/>
  </si>
  <si>
    <t>생산자</t>
    <phoneticPr fontId="8" type="noConversion"/>
  </si>
  <si>
    <t>상주원예영농조합법인</t>
    <phoneticPr fontId="12" type="noConversion"/>
  </si>
  <si>
    <t>2025-5-16</t>
    <phoneticPr fontId="8" type="noConversion"/>
  </si>
  <si>
    <t>시판(공동선별 B동)</t>
    <phoneticPr fontId="12" type="noConversion"/>
  </si>
  <si>
    <t>계 좌 번 호</t>
    <phoneticPr fontId="12" type="noConversion"/>
  </si>
  <si>
    <t>총  계</t>
    <phoneticPr fontId="12" type="noConversion"/>
  </si>
  <si>
    <t>소  계</t>
    <phoneticPr fontId="8" type="noConversion"/>
  </si>
  <si>
    <t>소 계</t>
    <phoneticPr fontId="8" type="noConversion"/>
  </si>
  <si>
    <t>적특상</t>
    <phoneticPr fontId="8" type="noConversion"/>
  </si>
  <si>
    <t>판매금액</t>
  </si>
  <si>
    <t>판매단가</t>
  </si>
  <si>
    <t>수 량</t>
    <phoneticPr fontId="8" type="noConversion"/>
  </si>
  <si>
    <t>등급</t>
    <phoneticPr fontId="12" type="noConversion"/>
  </si>
  <si>
    <t>영진상회(B동 공동선별)</t>
    <phoneticPr fontId="12" type="noConversion"/>
  </si>
  <si>
    <t>하(곡과)</t>
    <phoneticPr fontId="2" type="noConversion"/>
  </si>
  <si>
    <t>중(곡과)</t>
    <phoneticPr fontId="2" type="noConversion"/>
  </si>
  <si>
    <t>상</t>
    <phoneticPr fontId="2" type="noConversion"/>
  </si>
  <si>
    <t>특</t>
    <phoneticPr fontId="2" type="noConversion"/>
  </si>
  <si>
    <t>특상</t>
    <phoneticPr fontId="2" type="noConversion"/>
  </si>
  <si>
    <t>상(곡과)</t>
    <phoneticPr fontId="2" type="noConversion"/>
  </si>
  <si>
    <t>350청특상1,491청특상2,546청특상1,387중1,456중3,546중1,387하1,350하2</t>
    <phoneticPr fontId="2" type="noConversion"/>
  </si>
  <si>
    <t>시판</t>
    <phoneticPr fontId="2" type="noConversion"/>
  </si>
  <si>
    <t>527가로적1, 387청특상2, 316청특상2, 527청특상3, 25청특상4, 482청특상4, 513청특상2</t>
    <phoneticPr fontId="2" type="noConversion"/>
  </si>
  <si>
    <t>백침(50)</t>
    <phoneticPr fontId="2" type="noConversion"/>
  </si>
  <si>
    <t>대양청과</t>
    <phoneticPr fontId="2" type="noConversion"/>
  </si>
  <si>
    <t>자연(50)</t>
    <phoneticPr fontId="2" type="noConversion"/>
  </si>
  <si>
    <t>자연</t>
    <phoneticPr fontId="2" type="noConversion"/>
  </si>
  <si>
    <t>㈜리치</t>
    <phoneticPr fontId="2" type="noConversion"/>
  </si>
  <si>
    <t>서운종이</t>
    <phoneticPr fontId="2" type="noConversion"/>
  </si>
  <si>
    <t>온라인</t>
    <phoneticPr fontId="2" type="noConversion"/>
  </si>
  <si>
    <t>합계</t>
    <phoneticPr fontId="2" type="noConversion"/>
  </si>
  <si>
    <t>바구니</t>
    <phoneticPr fontId="2" type="noConversion"/>
  </si>
  <si>
    <t>강서</t>
    <phoneticPr fontId="2" type="noConversion"/>
  </si>
  <si>
    <t>상주</t>
    <phoneticPr fontId="2" type="noConversion"/>
  </si>
  <si>
    <t>영진</t>
    <phoneticPr fontId="2" type="noConversion"/>
  </si>
  <si>
    <t>한국</t>
    <phoneticPr fontId="2" type="noConversion"/>
  </si>
  <si>
    <t>비율</t>
    <phoneticPr fontId="2" type="noConversion"/>
  </si>
  <si>
    <t>총계</t>
  </si>
  <si>
    <t>하(곡과)</t>
    <phoneticPr fontId="28" type="noConversion"/>
  </si>
  <si>
    <t>하</t>
    <phoneticPr fontId="28" type="noConversion"/>
  </si>
  <si>
    <t>중(곡과)</t>
    <phoneticPr fontId="28" type="noConversion"/>
  </si>
  <si>
    <t>중</t>
    <phoneticPr fontId="28" type="noConversion"/>
  </si>
  <si>
    <t>상(체크)</t>
    <phoneticPr fontId="28" type="noConversion"/>
  </si>
  <si>
    <t>검상</t>
    <phoneticPr fontId="28" type="noConversion"/>
  </si>
  <si>
    <t>청상</t>
    <phoneticPr fontId="28" type="noConversion"/>
  </si>
  <si>
    <t>검특</t>
    <phoneticPr fontId="28" type="noConversion"/>
  </si>
  <si>
    <t>청특</t>
    <phoneticPr fontId="28" type="noConversion"/>
  </si>
  <si>
    <t>청특상</t>
    <phoneticPr fontId="28" type="noConversion"/>
  </si>
  <si>
    <t>적특상</t>
    <phoneticPr fontId="28" type="noConversion"/>
  </si>
  <si>
    <t>가로적</t>
    <phoneticPr fontId="28" type="noConversion"/>
  </si>
  <si>
    <t>생산자</t>
    <phoneticPr fontId="28" type="noConversion"/>
  </si>
  <si>
    <t>출          하          량</t>
    <phoneticPr fontId="28" type="noConversion"/>
  </si>
  <si>
    <t>일자 : 2025년 5월 16일</t>
    <phoneticPr fontId="28" type="noConversion"/>
  </si>
  <si>
    <t>2024년_2025년 공동선별출하량(B동)</t>
    <phoneticPr fontId="28" type="noConversion"/>
  </si>
  <si>
    <t>검특상</t>
    <phoneticPr fontId="8" type="noConversion"/>
  </si>
  <si>
    <t>자연인 (공동선별)</t>
    <phoneticPr fontId="12" type="noConversion"/>
  </si>
  <si>
    <t>2025-5-7</t>
    <phoneticPr fontId="8" type="noConversion"/>
  </si>
  <si>
    <t>온라인 (공동선별)</t>
    <phoneticPr fontId="12" type="noConversion"/>
  </si>
  <si>
    <t>가</t>
    <phoneticPr fontId="8" type="noConversion"/>
  </si>
  <si>
    <t>검</t>
    <phoneticPr fontId="8" type="noConversion"/>
  </si>
  <si>
    <t>하곡과</t>
    <phoneticPr fontId="8" type="noConversion"/>
  </si>
  <si>
    <t>청</t>
    <phoneticPr fontId="8" type="noConversion"/>
  </si>
  <si>
    <t>상</t>
    <phoneticPr fontId="8" type="noConversion"/>
  </si>
  <si>
    <t>특</t>
    <phoneticPr fontId="8" type="noConversion"/>
  </si>
  <si>
    <t>특상</t>
    <phoneticPr fontId="8" type="noConversion"/>
  </si>
  <si>
    <t>적A</t>
    <phoneticPr fontId="8" type="noConversion"/>
  </si>
  <si>
    <t>적</t>
    <phoneticPr fontId="8" type="noConversion"/>
  </si>
  <si>
    <t>가</t>
  </si>
  <si>
    <t>금액</t>
  </si>
  <si>
    <t>경락가</t>
  </si>
  <si>
    <t>등급</t>
  </si>
  <si>
    <t>번호</t>
  </si>
  <si>
    <t xml:space="preserve"> </t>
    <phoneticPr fontId="8" type="noConversion"/>
  </si>
  <si>
    <t>계</t>
  </si>
  <si>
    <t>중,하,하곡과</t>
    <phoneticPr fontId="8" type="noConversion"/>
  </si>
  <si>
    <t>상</t>
  </si>
  <si>
    <t>특</t>
  </si>
  <si>
    <t>특상</t>
  </si>
  <si>
    <t>날짜 : 2025-5-16</t>
    <phoneticPr fontId="28" type="noConversion"/>
  </si>
  <si>
    <t>기사 : 김대진</t>
    <phoneticPr fontId="8" type="noConversion"/>
  </si>
  <si>
    <t>거래처명 : 한국청과(공선 B동)</t>
    <phoneticPr fontId="28" type="noConversion"/>
  </si>
  <si>
    <t xml:space="preserve">  주) 적재출하내역 및 수량란은 파렛트 또는 플라스틱상자의 수량을 기입</t>
    <phoneticPr fontId="8" type="noConversion"/>
  </si>
  <si>
    <t xml:space="preserve">         수령자 :                                       (인)</t>
    <phoneticPr fontId="8" type="noConversion"/>
  </si>
  <si>
    <t>중   개
상대자</t>
    <phoneticPr fontId="8" type="noConversion"/>
  </si>
  <si>
    <t>매수대금
지 급  일</t>
    <phoneticPr fontId="8" type="noConversion"/>
  </si>
  <si>
    <t>매수또는
중개금액</t>
    <phoneticPr fontId="8" type="noConversion"/>
  </si>
  <si>
    <t>농어민생산자단체,중도매인농수산물
종합유통센타,수출업,기타</t>
    <phoneticPr fontId="8" type="noConversion"/>
  </si>
  <si>
    <t>기타
(비등록)</t>
    <phoneticPr fontId="8" type="noConversion"/>
  </si>
  <si>
    <t xml:space="preserve">511 - 82 - 04894 </t>
    <phoneticPr fontId="8" type="noConversion"/>
  </si>
  <si>
    <t>등록번호
(주민번호)</t>
    <phoneticPr fontId="8" type="noConversion"/>
  </si>
  <si>
    <t>상주시조합공동사업법인</t>
    <phoneticPr fontId="8" type="noConversion"/>
  </si>
  <si>
    <t>예  금  주</t>
    <phoneticPr fontId="8" type="noConversion"/>
  </si>
  <si>
    <t>351-0452-8976-33</t>
    <phoneticPr fontId="8" type="noConversion"/>
  </si>
  <si>
    <t>송금계좌</t>
    <phoneticPr fontId="8" type="noConversion"/>
  </si>
  <si>
    <t>농        협</t>
    <phoneticPr fontId="8" type="noConversion"/>
  </si>
  <si>
    <t>송금은행</t>
    <phoneticPr fontId="8" type="noConversion"/>
  </si>
  <si>
    <t>성       명</t>
    <phoneticPr fontId="8" type="noConversion"/>
  </si>
  <si>
    <t>(054)  531 - 0153</t>
    <phoneticPr fontId="8" type="noConversion"/>
  </si>
  <si>
    <t>전       송</t>
    <phoneticPr fontId="8" type="noConversion"/>
  </si>
  <si>
    <t>전       화</t>
    <phoneticPr fontId="8" type="noConversion"/>
  </si>
  <si>
    <t>상주시 양촌3길 13번지</t>
    <phoneticPr fontId="8" type="noConversion"/>
  </si>
  <si>
    <t>주       소</t>
    <phoneticPr fontId="8" type="noConversion"/>
  </si>
  <si>
    <t>출 하 자</t>
    <phoneticPr fontId="8" type="noConversion"/>
  </si>
  <si>
    <t>010-9371-6294</t>
    <phoneticPr fontId="8" type="noConversion"/>
  </si>
  <si>
    <t>연  락  처</t>
    <phoneticPr fontId="8" type="noConversion"/>
  </si>
  <si>
    <t>경북 81아 1276</t>
    <phoneticPr fontId="8" type="noConversion"/>
  </si>
  <si>
    <t>차량번호</t>
    <phoneticPr fontId="8" type="noConversion"/>
  </si>
  <si>
    <t>김대진</t>
    <phoneticPr fontId="8" type="noConversion"/>
  </si>
  <si>
    <t>기  사  명</t>
    <phoneticPr fontId="8" type="noConversion"/>
  </si>
  <si>
    <t xml:space="preserve">  일금 :                                원정
    (                             원)</t>
    <phoneticPr fontId="8" type="noConversion"/>
  </si>
  <si>
    <t>운      임</t>
    <phoneticPr fontId="8" type="noConversion"/>
  </si>
  <si>
    <t>합            계</t>
    <phoneticPr fontId="8" type="noConversion"/>
  </si>
  <si>
    <t>백다다기</t>
    <phoneticPr fontId="8" type="noConversion"/>
  </si>
  <si>
    <t>000</t>
    <phoneticPr fontId="8" type="noConversion"/>
  </si>
  <si>
    <t>원예</t>
    <phoneticPr fontId="8" type="noConversion"/>
  </si>
  <si>
    <t>가A</t>
    <phoneticPr fontId="8" type="noConversion"/>
  </si>
  <si>
    <t>계</t>
    <phoneticPr fontId="8" type="noConversion"/>
  </si>
  <si>
    <t>비고</t>
    <phoneticPr fontId="8" type="noConversion"/>
  </si>
  <si>
    <t>규격</t>
    <phoneticPr fontId="8" type="noConversion"/>
  </si>
  <si>
    <t>품종</t>
    <phoneticPr fontId="8" type="noConversion"/>
  </si>
  <si>
    <t>품목</t>
    <phoneticPr fontId="8" type="noConversion"/>
  </si>
  <si>
    <t>출하농협</t>
    <phoneticPr fontId="8" type="noConversion"/>
  </si>
  <si>
    <t>종이박스 출하 개수</t>
    <phoneticPr fontId="8" type="noConversion"/>
  </si>
  <si>
    <t>파렛트 출하 개수</t>
    <phoneticPr fontId="8" type="noConversion"/>
  </si>
  <si>
    <t>적재출하내역
및 수량</t>
    <phoneticPr fontId="8" type="noConversion"/>
  </si>
  <si>
    <t>중개</t>
    <phoneticPr fontId="8" type="noConversion"/>
  </si>
  <si>
    <t>위탁</t>
    <phoneticPr fontId="8" type="noConversion"/>
  </si>
  <si>
    <t>거래방법</t>
    <phoneticPr fontId="8" type="noConversion"/>
  </si>
  <si>
    <t>아래 농수산물의 판매를 의뢰합니다.          
                                                             ◈ 2025년   5월    16일◈
                                                                회사명 : 상주시조합공동사업법인   (인)</t>
    <phoneticPr fontId="8" type="noConversion"/>
  </si>
  <si>
    <t>상주시조합공동사업법인</t>
  </si>
  <si>
    <t>발   신</t>
    <phoneticPr fontId="8" type="noConversion"/>
  </si>
  <si>
    <t>한국청과</t>
    <phoneticPr fontId="8" type="noConversion"/>
  </si>
  <si>
    <t>◈ 출하일자 : 2025년 5월  16일 ◈                                                           ◈ 도착일자 : 2025년 5월  16일 ◈</t>
    <phoneticPr fontId="8" type="noConversion"/>
  </si>
  <si>
    <t>표 준 송 품 장(B동)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</si>
</sst>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76" formatCode="0.0%"/>
  </numFmts>
  <fonts count="4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7"/>
      <color theme="1"/>
      <name val="신명조"/>
      <family val="3"/>
      <charset val="129"/>
    </font>
    <font>
      <b/>
      <sz val="12"/>
      <color theme="1"/>
      <name val="신명조"/>
      <family val="3"/>
      <charset val="129"/>
    </font>
    <font>
      <sz val="12"/>
      <color theme="1"/>
      <name val="신명조"/>
      <family val="3"/>
      <charset val="129"/>
    </font>
    <font>
      <sz val="11"/>
      <name val="돋움"/>
      <family val="3"/>
      <charset val="129"/>
    </font>
    <font>
      <b/>
      <sz val="12"/>
      <name val="신명조"/>
      <family val="3"/>
      <charset val="129"/>
    </font>
    <font>
      <sz val="8"/>
      <name val="돋움"/>
      <family val="3"/>
      <charset val="129"/>
    </font>
    <font>
      <b/>
      <sz val="11"/>
      <name val="신명조"/>
      <family val="3"/>
      <charset val="129"/>
    </font>
    <font>
      <sz val="12"/>
      <name val="신명조"/>
      <family val="3"/>
      <charset val="129"/>
    </font>
    <font>
      <b/>
      <sz val="11"/>
      <name val="돋움"/>
      <family val="3"/>
      <charset val="129"/>
    </font>
    <font>
      <sz val="8"/>
      <name val="바탕"/>
      <family val="1"/>
      <charset val="129"/>
    </font>
    <font>
      <b/>
      <sz val="12"/>
      <name val="돋움"/>
      <family val="3"/>
      <charset val="129"/>
    </font>
    <font>
      <b/>
      <sz val="15"/>
      <name val="신명조"/>
      <family val="3"/>
      <charset val="129"/>
    </font>
    <font>
      <b/>
      <u/>
      <sz val="20"/>
      <name val="신명조"/>
      <family val="3"/>
      <charset val="129"/>
    </font>
    <font>
      <b/>
      <sz val="11"/>
      <name val="굴림체"/>
      <family val="3"/>
      <charset val="129"/>
    </font>
    <font>
      <b/>
      <sz val="11"/>
      <name val="바탕체"/>
      <family val="1"/>
      <charset val="129"/>
    </font>
    <font>
      <sz val="10"/>
      <name val="굴림체"/>
      <family val="3"/>
      <charset val="129"/>
    </font>
    <font>
      <b/>
      <sz val="12"/>
      <name val="굴림체"/>
      <family val="3"/>
      <charset val="129"/>
    </font>
    <font>
      <b/>
      <u/>
      <sz val="18"/>
      <name val="순명조"/>
      <family val="1"/>
      <charset val="129"/>
    </font>
    <font>
      <b/>
      <sz val="10"/>
      <color theme="1"/>
      <name val="신명조"/>
      <family val="3"/>
      <charset val="129"/>
    </font>
    <font>
      <b/>
      <sz val="9"/>
      <color theme="1"/>
      <name val="신명조"/>
      <family val="3"/>
      <charset val="129"/>
    </font>
    <font>
      <b/>
      <sz val="8"/>
      <color theme="1"/>
      <name val="신명조"/>
      <family val="3"/>
      <charset val="129"/>
    </font>
    <font>
      <b/>
      <sz val="11"/>
      <color theme="1"/>
      <name val="신명조"/>
      <family val="3"/>
      <charset val="129"/>
    </font>
    <font>
      <b/>
      <sz val="10"/>
      <name val="신명조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8"/>
      <name val="신명조"/>
      <family val="3"/>
      <charset val="129"/>
    </font>
    <font>
      <sz val="8"/>
      <name val="맑은 고딕"/>
      <family val="3"/>
      <charset val="129"/>
    </font>
    <font>
      <b/>
      <sz val="13"/>
      <name val="신명조"/>
      <family val="3"/>
      <charset val="129"/>
    </font>
    <font>
      <b/>
      <sz val="20"/>
      <color theme="1"/>
      <name val="신명조"/>
      <family val="3"/>
      <charset val="129"/>
    </font>
    <font>
      <b/>
      <sz val="10"/>
      <name val="굴림체"/>
      <family val="3"/>
      <charset val="129"/>
    </font>
    <font>
      <b/>
      <sz val="10"/>
      <name val="바탕체"/>
      <family val="1"/>
      <charset val="129"/>
    </font>
    <font>
      <sz val="11"/>
      <color indexed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3"/>
      <color indexed="8"/>
      <name val="돋움"/>
      <family val="3"/>
      <charset val="129"/>
    </font>
    <font>
      <sz val="12"/>
      <color indexed="8"/>
      <name val="돋움"/>
      <family val="3"/>
      <charset val="129"/>
    </font>
    <font>
      <b/>
      <sz val="11"/>
      <color indexed="8"/>
      <name val="돋움"/>
      <family val="3"/>
      <charset val="129"/>
    </font>
    <font>
      <b/>
      <sz val="16"/>
      <name val="돋움"/>
      <family val="3"/>
      <charset val="129"/>
    </font>
    <font>
      <b/>
      <sz val="15"/>
      <name val="돋움"/>
      <family val="3"/>
      <charset val="129"/>
    </font>
    <font>
      <b/>
      <sz val="20"/>
      <name val="돋움"/>
      <family val="3"/>
      <charset val="129"/>
    </font>
    <font>
      <sz val="14"/>
      <name val="돋움"/>
      <family val="3"/>
      <charset val="129"/>
    </font>
    <font>
      <sz val="17"/>
      <name val="돋움"/>
      <family val="3"/>
      <charset val="129"/>
    </font>
    <font>
      <b/>
      <sz val="17"/>
      <name val="돋움"/>
      <family val="3"/>
      <charset val="129"/>
    </font>
    <font>
      <b/>
      <sz val="17"/>
      <color theme="1"/>
      <name val="돋움"/>
      <family val="3"/>
      <charset val="129"/>
    </font>
    <font>
      <b/>
      <sz val="14"/>
      <name val="돋움"/>
      <family val="3"/>
      <charset val="129"/>
    </font>
    <font>
      <b/>
      <sz val="5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 tint="0.59996337778862885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/>
    <xf numFmtId="0" fontId="26" fillId="0" borderId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/>
    <xf numFmtId="41" fontId="34" fillId="0" borderId="0" applyFont="0" applyFill="0" applyBorder="0" applyAlignment="0" applyProtection="0">
      <alignment vertical="center"/>
    </xf>
    <xf numFmtId="41" fontId="34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</cellStyleXfs>
  <cellXfs count="239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9" fontId="4" fillId="2" borderId="13" xfId="0" applyNumberFormat="1" applyFont="1" applyFill="1" applyBorder="1" applyAlignment="1">
      <alignment horizontal="center" vertical="center"/>
    </xf>
    <xf numFmtId="9" fontId="4" fillId="2" borderId="13" xfId="1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9" fontId="4" fillId="2" borderId="18" xfId="1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6" fillId="0" borderId="0" xfId="3"/>
    <xf numFmtId="0" fontId="6" fillId="0" borderId="0" xfId="3" applyAlignment="1">
      <alignment horizontal="center" vertical="center"/>
    </xf>
    <xf numFmtId="41" fontId="7" fillId="0" borderId="23" xfId="3" applyNumberFormat="1" applyFont="1" applyBorder="1" applyAlignment="1">
      <alignment horizontal="center" vertical="center"/>
    </xf>
    <xf numFmtId="0" fontId="7" fillId="3" borderId="24" xfId="3" applyFont="1" applyFill="1" applyBorder="1" applyAlignment="1">
      <alignment horizontal="center" vertical="center"/>
    </xf>
    <xf numFmtId="3" fontId="7" fillId="0" borderId="23" xfId="3" applyNumberFormat="1" applyFont="1" applyBorder="1" applyAlignment="1">
      <alignment vertical="center"/>
    </xf>
    <xf numFmtId="41" fontId="9" fillId="3" borderId="23" xfId="3" applyNumberFormat="1" applyFont="1" applyFill="1" applyBorder="1" applyAlignment="1">
      <alignment horizontal="center" vertical="center"/>
    </xf>
    <xf numFmtId="41" fontId="7" fillId="3" borderId="25" xfId="3" applyNumberFormat="1" applyFont="1" applyFill="1" applyBorder="1" applyAlignment="1">
      <alignment horizontal="center" vertical="center"/>
    </xf>
    <xf numFmtId="0" fontId="7" fillId="3" borderId="26" xfId="3" applyFont="1" applyFill="1" applyBorder="1" applyAlignment="1">
      <alignment horizontal="center" vertical="center"/>
    </xf>
    <xf numFmtId="0" fontId="10" fillId="0" borderId="13" xfId="3" applyFont="1" applyBorder="1" applyAlignment="1">
      <alignment horizontal="center" vertical="center" shrinkToFit="1"/>
    </xf>
    <xf numFmtId="41" fontId="10" fillId="0" borderId="5" xfId="3" applyNumberFormat="1" applyFont="1" applyBorder="1" applyAlignment="1">
      <alignment horizontal="center" vertical="center"/>
    </xf>
    <xf numFmtId="41" fontId="10" fillId="0" borderId="12" xfId="3" applyNumberFormat="1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27" xfId="3" applyFont="1" applyBorder="1" applyAlignment="1">
      <alignment horizontal="center" vertical="center"/>
    </xf>
    <xf numFmtId="41" fontId="10" fillId="0" borderId="4" xfId="3" applyNumberFormat="1" applyFont="1" applyBorder="1" applyAlignment="1">
      <alignment horizontal="center" vertical="center"/>
    </xf>
    <xf numFmtId="0" fontId="10" fillId="0" borderId="12" xfId="3" applyFont="1" applyBorder="1" applyAlignment="1">
      <alignment horizontal="center" vertical="center"/>
    </xf>
    <xf numFmtId="0" fontId="10" fillId="0" borderId="28" xfId="3" applyFont="1" applyBorder="1" applyAlignment="1">
      <alignment horizontal="center" vertical="center"/>
    </xf>
    <xf numFmtId="0" fontId="11" fillId="4" borderId="0" xfId="3" applyFont="1" applyFill="1" applyAlignment="1">
      <alignment horizontal="center" vertical="center"/>
    </xf>
    <xf numFmtId="0" fontId="7" fillId="3" borderId="29" xfId="3" applyFont="1" applyFill="1" applyBorder="1" applyAlignment="1">
      <alignment horizontal="center" vertical="center"/>
    </xf>
    <xf numFmtId="0" fontId="7" fillId="3" borderId="30" xfId="3" applyFont="1" applyFill="1" applyBorder="1" applyAlignment="1">
      <alignment horizontal="center" vertical="center"/>
    </xf>
    <xf numFmtId="0" fontId="7" fillId="3" borderId="31" xfId="3" applyFont="1" applyFill="1" applyBorder="1" applyAlignment="1">
      <alignment horizontal="center" vertical="center"/>
    </xf>
    <xf numFmtId="0" fontId="13" fillId="0" borderId="0" xfId="3" applyFont="1" applyAlignment="1">
      <alignment horizontal="right" vertical="center"/>
    </xf>
    <xf numFmtId="0" fontId="13" fillId="0" borderId="0" xfId="3" applyFont="1" applyAlignment="1">
      <alignment vertical="center"/>
    </xf>
    <xf numFmtId="41" fontId="16" fillId="0" borderId="18" xfId="3" applyNumberFormat="1" applyFont="1" applyBorder="1" applyAlignment="1">
      <alignment horizontal="center" vertical="center"/>
    </xf>
    <xf numFmtId="0" fontId="16" fillId="0" borderId="17" xfId="3" applyFont="1" applyBorder="1" applyAlignment="1">
      <alignment horizontal="center" vertical="center"/>
    </xf>
    <xf numFmtId="41" fontId="16" fillId="0" borderId="17" xfId="3" applyNumberFormat="1" applyFont="1" applyBorder="1" applyAlignment="1">
      <alignment horizontal="center" vertical="center"/>
    </xf>
    <xf numFmtId="0" fontId="16" fillId="0" borderId="17" xfId="3" applyFont="1" applyBorder="1" applyAlignment="1">
      <alignment horizontal="center" vertical="center" shrinkToFit="1"/>
    </xf>
    <xf numFmtId="0" fontId="16" fillId="0" borderId="34" xfId="3" applyFont="1" applyBorder="1" applyAlignment="1">
      <alignment horizontal="center" vertical="center"/>
    </xf>
    <xf numFmtId="41" fontId="17" fillId="0" borderId="6" xfId="3" applyNumberFormat="1" applyFont="1" applyBorder="1" applyAlignment="1">
      <alignment horizontal="center" vertical="center"/>
    </xf>
    <xf numFmtId="41" fontId="17" fillId="0" borderId="4" xfId="3" applyNumberFormat="1" applyFont="1" applyBorder="1" applyAlignment="1">
      <alignment horizontal="center" vertical="center"/>
    </xf>
    <xf numFmtId="41" fontId="11" fillId="0" borderId="4" xfId="3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shrinkToFit="1"/>
    </xf>
    <xf numFmtId="0" fontId="17" fillId="0" borderId="27" xfId="3" applyFont="1" applyBorder="1" applyAlignment="1">
      <alignment horizontal="center" vertical="center"/>
    </xf>
    <xf numFmtId="0" fontId="11" fillId="0" borderId="4" xfId="3" applyFont="1" applyBorder="1" applyAlignment="1">
      <alignment horizontal="center" vertical="center"/>
    </xf>
    <xf numFmtId="0" fontId="17" fillId="0" borderId="4" xfId="3" applyFont="1" applyBorder="1" applyAlignment="1">
      <alignment horizontal="center" vertical="center" shrinkToFit="1"/>
    </xf>
    <xf numFmtId="41" fontId="18" fillId="0" borderId="6" xfId="3" applyNumberFormat="1" applyFont="1" applyBorder="1" applyAlignment="1">
      <alignment horizontal="center" vertical="center"/>
    </xf>
    <xf numFmtId="41" fontId="18" fillId="0" borderId="4" xfId="3" applyNumberFormat="1" applyFont="1" applyBorder="1" applyAlignment="1">
      <alignment horizontal="center" vertical="center"/>
    </xf>
    <xf numFmtId="0" fontId="18" fillId="0" borderId="27" xfId="3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/>
    </xf>
    <xf numFmtId="0" fontId="19" fillId="4" borderId="3" xfId="3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0" fontId="19" fillId="4" borderId="1" xfId="3" applyFont="1" applyFill="1" applyBorder="1" applyAlignment="1">
      <alignment horizontal="center" vertical="center"/>
    </xf>
    <xf numFmtId="176" fontId="21" fillId="3" borderId="23" xfId="1" applyNumberFormat="1" applyFont="1" applyFill="1" applyBorder="1" applyAlignment="1">
      <alignment horizontal="center" vertical="center" shrinkToFit="1"/>
    </xf>
    <xf numFmtId="2" fontId="21" fillId="3" borderId="24" xfId="0" applyNumberFormat="1" applyFont="1" applyFill="1" applyBorder="1" applyAlignment="1">
      <alignment horizontal="center" vertical="center" shrinkToFit="1"/>
    </xf>
    <xf numFmtId="43" fontId="21" fillId="3" borderId="24" xfId="0" applyNumberFormat="1" applyFont="1" applyFill="1" applyBorder="1" applyAlignment="1">
      <alignment horizontal="center" vertical="center" shrinkToFit="1"/>
    </xf>
    <xf numFmtId="0" fontId="21" fillId="3" borderId="24" xfId="0" applyFont="1" applyFill="1" applyBorder="1" applyAlignment="1">
      <alignment horizontal="center" vertical="center" shrinkToFit="1"/>
    </xf>
    <xf numFmtId="0" fontId="21" fillId="0" borderId="36" xfId="0" applyFont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21" fillId="0" borderId="23" xfId="0" applyFont="1" applyBorder="1">
      <alignment vertical="center"/>
    </xf>
    <xf numFmtId="0" fontId="21" fillId="3" borderId="23" xfId="0" applyFont="1" applyFill="1" applyBorder="1" applyAlignment="1">
      <alignment horizontal="center" vertical="center" shrinkToFit="1"/>
    </xf>
    <xf numFmtId="0" fontId="22" fillId="0" borderId="24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3" fontId="21" fillId="3" borderId="23" xfId="0" applyNumberFormat="1" applyFont="1" applyFill="1" applyBorder="1" applyAlignment="1">
      <alignment horizontal="center" vertical="center" shrinkToFit="1"/>
    </xf>
    <xf numFmtId="0" fontId="21" fillId="0" borderId="24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 shrinkToFit="1"/>
    </xf>
    <xf numFmtId="0" fontId="21" fillId="0" borderId="26" xfId="0" applyFont="1" applyBorder="1" applyAlignment="1">
      <alignment horizontal="center" vertical="center" shrinkToFit="1"/>
    </xf>
    <xf numFmtId="0" fontId="21" fillId="2" borderId="24" xfId="0" applyFont="1" applyFill="1" applyBorder="1" applyAlignment="1">
      <alignment horizontal="center" vertical="center" shrinkToFit="1"/>
    </xf>
    <xf numFmtId="0" fontId="21" fillId="3" borderId="26" xfId="0" applyFont="1" applyFill="1" applyBorder="1" applyAlignment="1">
      <alignment horizontal="center" vertical="center" shrinkToFit="1"/>
    </xf>
    <xf numFmtId="41" fontId="9" fillId="3" borderId="6" xfId="2" applyFont="1" applyFill="1" applyBorder="1" applyAlignment="1">
      <alignment horizontal="center" vertical="center" shrinkToFit="1"/>
    </xf>
    <xf numFmtId="41" fontId="24" fillId="2" borderId="4" xfId="2" applyFont="1" applyFill="1" applyBorder="1" applyAlignment="1">
      <alignment vertical="center" shrinkToFit="1"/>
    </xf>
    <xf numFmtId="0" fontId="24" fillId="2" borderId="27" xfId="0" applyFont="1" applyFill="1" applyBorder="1" applyAlignment="1">
      <alignment horizontal="center" vertical="center"/>
    </xf>
    <xf numFmtId="9" fontId="25" fillId="3" borderId="6" xfId="1" applyFont="1" applyFill="1" applyBorder="1" applyAlignment="1">
      <alignment horizontal="center" vertical="center" shrinkToFit="1"/>
    </xf>
    <xf numFmtId="176" fontId="25" fillId="3" borderId="4" xfId="1" applyNumberFormat="1" applyFont="1" applyFill="1" applyBorder="1" applyAlignment="1">
      <alignment horizontal="center" vertical="center" shrinkToFit="1"/>
    </xf>
    <xf numFmtId="0" fontId="21" fillId="3" borderId="27" xfId="4" applyFont="1" applyFill="1" applyBorder="1" applyAlignment="1">
      <alignment horizontal="center" vertical="center"/>
    </xf>
    <xf numFmtId="41" fontId="9" fillId="2" borderId="4" xfId="2" applyFont="1" applyFill="1" applyBorder="1" applyAlignment="1">
      <alignment horizontal="center" vertical="center" shrinkToFit="1"/>
    </xf>
    <xf numFmtId="0" fontId="25" fillId="0" borderId="6" xfId="5" applyFont="1" applyBorder="1" applyAlignment="1">
      <alignment horizontal="center" vertical="center" shrinkToFit="1"/>
    </xf>
    <xf numFmtId="0" fontId="27" fillId="0" borderId="4" xfId="5" applyFont="1" applyBorder="1" applyAlignment="1">
      <alignment horizontal="center" vertical="center" shrinkToFit="1"/>
    </xf>
    <xf numFmtId="0" fontId="25" fillId="0" borderId="4" xfId="5" applyFont="1" applyBorder="1" applyAlignment="1">
      <alignment horizontal="center" vertical="center" shrinkToFit="1"/>
    </xf>
    <xf numFmtId="41" fontId="31" fillId="0" borderId="18" xfId="3" applyNumberFormat="1" applyFont="1" applyBorder="1" applyAlignment="1">
      <alignment horizontal="center" vertical="center" shrinkToFit="1"/>
    </xf>
    <xf numFmtId="41" fontId="16" fillId="0" borderId="17" xfId="3" applyNumberFormat="1" applyFont="1" applyBorder="1" applyAlignment="1">
      <alignment horizontal="center" vertical="center" shrinkToFit="1"/>
    </xf>
    <xf numFmtId="41" fontId="32" fillId="0" borderId="6" xfId="3" applyNumberFormat="1" applyFont="1" applyBorder="1" applyAlignment="1">
      <alignment horizontal="center" vertical="center" shrinkToFit="1"/>
    </xf>
    <xf numFmtId="41" fontId="17" fillId="0" borderId="4" xfId="3" applyNumberFormat="1" applyFont="1" applyBorder="1" applyAlignment="1">
      <alignment horizontal="center" vertical="center" shrinkToFit="1"/>
    </xf>
    <xf numFmtId="41" fontId="11" fillId="0" borderId="4" xfId="3" applyNumberFormat="1" applyFont="1" applyBorder="1" applyAlignment="1">
      <alignment horizontal="center" vertical="center" shrinkToFit="1"/>
    </xf>
    <xf numFmtId="0" fontId="17" fillId="0" borderId="27" xfId="3" applyFont="1" applyBorder="1" applyAlignment="1">
      <alignment horizontal="center" vertical="center" shrinkToFit="1"/>
    </xf>
    <xf numFmtId="0" fontId="11" fillId="0" borderId="4" xfId="3" applyFont="1" applyBorder="1" applyAlignment="1">
      <alignment horizontal="center" vertical="center" shrinkToFit="1"/>
    </xf>
    <xf numFmtId="0" fontId="33" fillId="0" borderId="0" xfId="3" applyFont="1" applyAlignment="1">
      <alignment vertical="center"/>
    </xf>
    <xf numFmtId="41" fontId="6" fillId="0" borderId="4" xfId="6" applyFont="1" applyFill="1" applyBorder="1" applyAlignment="1">
      <alignment horizontal="center" vertical="center"/>
    </xf>
    <xf numFmtId="0" fontId="6" fillId="0" borderId="40" xfId="3" applyBorder="1" applyAlignment="1">
      <alignment horizontal="center" vertical="center"/>
    </xf>
    <xf numFmtId="0" fontId="6" fillId="3" borderId="4" xfId="3" applyFill="1" applyBorder="1" applyAlignment="1">
      <alignment horizontal="center" vertical="center"/>
    </xf>
    <xf numFmtId="0" fontId="6" fillId="2" borderId="4" xfId="3" applyFill="1" applyBorder="1" applyAlignment="1">
      <alignment horizontal="center" vertical="center"/>
    </xf>
    <xf numFmtId="41" fontId="6" fillId="2" borderId="4" xfId="6" applyFont="1" applyFill="1" applyBorder="1" applyAlignment="1">
      <alignment horizontal="center" vertical="center"/>
    </xf>
    <xf numFmtId="0" fontId="6" fillId="2" borderId="40" xfId="3" applyFill="1" applyBorder="1" applyAlignment="1">
      <alignment horizontal="center" vertical="center"/>
    </xf>
    <xf numFmtId="0" fontId="6" fillId="0" borderId="4" xfId="3" applyBorder="1" applyAlignment="1">
      <alignment horizontal="center" vertical="center"/>
    </xf>
    <xf numFmtId="41" fontId="0" fillId="0" borderId="7" xfId="6" applyFont="1" applyFill="1" applyBorder="1" applyAlignment="1">
      <alignment horizontal="center" vertical="center"/>
    </xf>
    <xf numFmtId="0" fontId="6" fillId="0" borderId="7" xfId="3" applyBorder="1" applyAlignment="1">
      <alignment horizontal="center" vertical="center"/>
    </xf>
    <xf numFmtId="0" fontId="6" fillId="0" borderId="11" xfId="3" applyBorder="1" applyAlignment="1">
      <alignment horizontal="center" vertical="center"/>
    </xf>
    <xf numFmtId="41" fontId="33" fillId="5" borderId="37" xfId="6" applyFont="1" applyFill="1" applyBorder="1" applyAlignment="1">
      <alignment horizontal="center" vertical="center"/>
    </xf>
    <xf numFmtId="0" fontId="33" fillId="5" borderId="38" xfId="3" applyFont="1" applyFill="1" applyBorder="1" applyAlignment="1">
      <alignment horizontal="center" vertical="center"/>
    </xf>
    <xf numFmtId="41" fontId="33" fillId="5" borderId="38" xfId="3" applyNumberFormat="1" applyFont="1" applyFill="1" applyBorder="1" applyAlignment="1">
      <alignment horizontal="center" vertical="center"/>
    </xf>
    <xf numFmtId="0" fontId="33" fillId="5" borderId="39" xfId="3" applyFont="1" applyFill="1" applyBorder="1" applyAlignment="1">
      <alignment horizontal="center" vertical="center"/>
    </xf>
    <xf numFmtId="41" fontId="33" fillId="6" borderId="5" xfId="7" applyFont="1" applyFill="1" applyBorder="1" applyAlignment="1">
      <alignment horizontal="center" vertical="center"/>
    </xf>
    <xf numFmtId="41" fontId="33" fillId="6" borderId="5" xfId="8" applyFont="1" applyFill="1" applyBorder="1" applyAlignment="1">
      <alignment horizontal="center" vertical="center"/>
    </xf>
    <xf numFmtId="41" fontId="33" fillId="6" borderId="7" xfId="7" applyFont="1" applyFill="1" applyBorder="1" applyAlignment="1">
      <alignment horizontal="center" vertical="center"/>
    </xf>
    <xf numFmtId="41" fontId="33" fillId="6" borderId="4" xfId="7" applyFont="1" applyFill="1" applyBorder="1" applyAlignment="1">
      <alignment horizontal="center" vertical="center"/>
    </xf>
    <xf numFmtId="41" fontId="33" fillId="6" borderId="4" xfId="8" applyFont="1" applyFill="1" applyBorder="1" applyAlignment="1">
      <alignment horizontal="center" vertical="center"/>
    </xf>
    <xf numFmtId="41" fontId="33" fillId="0" borderId="2" xfId="6" applyFont="1" applyBorder="1" applyAlignment="1">
      <alignment horizontal="center" vertical="center"/>
    </xf>
    <xf numFmtId="0" fontId="33" fillId="0" borderId="2" xfId="3" applyFont="1" applyBorder="1" applyAlignment="1">
      <alignment horizontal="center" vertical="center"/>
    </xf>
    <xf numFmtId="0" fontId="33" fillId="0" borderId="1" xfId="3" applyFont="1" applyBorder="1" applyAlignment="1">
      <alignment horizontal="center" vertical="center"/>
    </xf>
    <xf numFmtId="14" fontId="33" fillId="0" borderId="0" xfId="3" applyNumberFormat="1" applyFont="1" applyAlignment="1">
      <alignment horizontal="center" vertical="center"/>
    </xf>
    <xf numFmtId="0" fontId="35" fillId="0" borderId="0" xfId="3" applyFont="1" applyAlignment="1">
      <alignment vertical="center"/>
    </xf>
    <xf numFmtId="41" fontId="37" fillId="0" borderId="25" xfId="6" applyFont="1" applyBorder="1" applyAlignment="1">
      <alignment horizontal="center" vertical="center"/>
    </xf>
    <xf numFmtId="41" fontId="37" fillId="0" borderId="49" xfId="6" applyFont="1" applyBorder="1" applyAlignment="1">
      <alignment horizontal="center" vertical="center"/>
    </xf>
    <xf numFmtId="0" fontId="33" fillId="0" borderId="0" xfId="3" applyFont="1" applyAlignment="1">
      <alignment horizontal="left" vertical="center"/>
    </xf>
    <xf numFmtId="0" fontId="11" fillId="0" borderId="0" xfId="3" applyFont="1" applyAlignment="1">
      <alignment horizontal="left" vertical="center"/>
    </xf>
    <xf numFmtId="0" fontId="38" fillId="0" borderId="6" xfId="3" applyFont="1" applyBorder="1" applyAlignment="1">
      <alignment horizontal="center" vertical="center"/>
    </xf>
    <xf numFmtId="0" fontId="38" fillId="0" borderId="4" xfId="3" applyFont="1" applyBorder="1" applyAlignment="1">
      <alignment horizontal="center" vertical="center"/>
    </xf>
    <xf numFmtId="0" fontId="13" fillId="0" borderId="4" xfId="3" applyFont="1" applyBorder="1" applyAlignment="1">
      <alignment horizontal="center" vertical="center" wrapText="1"/>
    </xf>
    <xf numFmtId="0" fontId="13" fillId="0" borderId="4" xfId="3" applyFont="1" applyBorder="1" applyAlignment="1">
      <alignment horizontal="center" vertical="center"/>
    </xf>
    <xf numFmtId="0" fontId="13" fillId="0" borderId="27" xfId="3" applyFont="1" applyBorder="1" applyAlignment="1">
      <alignment horizontal="center" vertical="center" wrapText="1"/>
    </xf>
    <xf numFmtId="0" fontId="39" fillId="0" borderId="4" xfId="3" applyFont="1" applyBorder="1" applyAlignment="1">
      <alignment horizontal="center" vertical="center"/>
    </xf>
    <xf numFmtId="0" fontId="39" fillId="0" borderId="6" xfId="3" applyFont="1" applyBorder="1" applyAlignment="1">
      <alignment horizontal="center" vertical="center"/>
    </xf>
    <xf numFmtId="0" fontId="39" fillId="0" borderId="4" xfId="3" applyFont="1" applyBorder="1" applyAlignment="1">
      <alignment horizontal="center" vertical="center" wrapText="1"/>
    </xf>
    <xf numFmtId="0" fontId="41" fillId="0" borderId="0" xfId="3" applyFont="1" applyAlignment="1">
      <alignment horizontal="center" vertical="center"/>
    </xf>
    <xf numFmtId="41" fontId="38" fillId="0" borderId="4" xfId="6" applyFont="1" applyBorder="1" applyAlignment="1">
      <alignment horizontal="center" vertical="center"/>
    </xf>
    <xf numFmtId="0" fontId="42" fillId="0" borderId="0" xfId="3" applyFont="1" applyAlignment="1">
      <alignment horizontal="center" vertical="center"/>
    </xf>
    <xf numFmtId="0" fontId="42" fillId="0" borderId="0" xfId="3" applyFont="1" applyAlignment="1">
      <alignment horizontal="left" vertical="center"/>
    </xf>
    <xf numFmtId="0" fontId="43" fillId="0" borderId="6" xfId="3" applyFont="1" applyBorder="1" applyAlignment="1">
      <alignment horizontal="center" vertical="center"/>
    </xf>
    <xf numFmtId="41" fontId="43" fillId="0" borderId="4" xfId="6" applyFont="1" applyBorder="1" applyAlignment="1">
      <alignment horizontal="center" vertical="center"/>
    </xf>
    <xf numFmtId="0" fontId="43" fillId="0" borderId="4" xfId="3" applyFont="1" applyBorder="1" applyAlignment="1">
      <alignment horizontal="center" vertical="center"/>
    </xf>
    <xf numFmtId="0" fontId="43" fillId="0" borderId="4" xfId="3" quotePrefix="1" applyFont="1" applyBorder="1" applyAlignment="1">
      <alignment horizontal="center" vertical="center"/>
    </xf>
    <xf numFmtId="0" fontId="44" fillId="0" borderId="11" xfId="3" applyFont="1" applyBorder="1" applyAlignment="1">
      <alignment vertical="center" textRotation="255" wrapText="1"/>
    </xf>
    <xf numFmtId="0" fontId="45" fillId="0" borderId="6" xfId="3" applyFont="1" applyBorder="1" applyAlignment="1">
      <alignment horizontal="center" vertical="center"/>
    </xf>
    <xf numFmtId="0" fontId="6" fillId="0" borderId="0" xfId="3" applyAlignment="1">
      <alignment horizontal="left" vertical="center"/>
    </xf>
    <xf numFmtId="0" fontId="45" fillId="0" borderId="4" xfId="3" applyFont="1" applyBorder="1" applyAlignment="1">
      <alignment horizontal="center" vertical="center"/>
    </xf>
    <xf numFmtId="0" fontId="45" fillId="0" borderId="27" xfId="3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shrinkToFit="1"/>
    </xf>
    <xf numFmtId="0" fontId="4" fillId="2" borderId="21" xfId="0" applyFont="1" applyFill="1" applyBorder="1" applyAlignment="1">
      <alignment horizontal="center" vertical="center" shrinkToFit="1"/>
    </xf>
    <xf numFmtId="0" fontId="15" fillId="0" borderId="0" xfId="3" applyFont="1" applyAlignment="1">
      <alignment horizontal="center" vertical="center"/>
    </xf>
    <xf numFmtId="0" fontId="15" fillId="0" borderId="0" xfId="3" quotePrefix="1" applyFont="1" applyAlignment="1">
      <alignment horizontal="center" vertical="center"/>
    </xf>
    <xf numFmtId="31" fontId="14" fillId="0" borderId="0" xfId="3" quotePrefix="1" applyNumberFormat="1" applyFont="1" applyAlignment="1">
      <alignment horizontal="right" vertical="center"/>
    </xf>
    <xf numFmtId="0" fontId="14" fillId="0" borderId="0" xfId="3" quotePrefix="1" applyFont="1" applyAlignment="1">
      <alignment horizontal="right" vertical="center"/>
    </xf>
    <xf numFmtId="0" fontId="14" fillId="0" borderId="0" xfId="3" applyFont="1" applyAlignment="1">
      <alignment horizontal="right" vertical="center"/>
    </xf>
    <xf numFmtId="0" fontId="7" fillId="3" borderId="24" xfId="3" applyFont="1" applyFill="1" applyBorder="1" applyAlignment="1">
      <alignment horizontal="center" vertical="center"/>
    </xf>
    <xf numFmtId="0" fontId="7" fillId="3" borderId="26" xfId="3" applyFont="1" applyFill="1" applyBorder="1" applyAlignment="1">
      <alignment horizontal="center" vertical="center"/>
    </xf>
    <xf numFmtId="0" fontId="20" fillId="0" borderId="0" xfId="3" applyFont="1" applyAlignment="1">
      <alignment horizontal="center" vertical="center"/>
    </xf>
    <xf numFmtId="0" fontId="20" fillId="0" borderId="0" xfId="3" quotePrefix="1" applyFont="1" applyAlignment="1">
      <alignment horizontal="center" vertical="center"/>
    </xf>
    <xf numFmtId="31" fontId="13" fillId="0" borderId="0" xfId="3" quotePrefix="1" applyNumberFormat="1" applyFont="1" applyAlignment="1">
      <alignment horizontal="right" vertical="center"/>
    </xf>
    <xf numFmtId="0" fontId="13" fillId="0" borderId="0" xfId="3" quotePrefix="1" applyFont="1" applyAlignment="1">
      <alignment horizontal="right" vertical="center"/>
    </xf>
    <xf numFmtId="0" fontId="13" fillId="0" borderId="0" xfId="3" applyFont="1" applyAlignment="1">
      <alignment horizontal="right" vertical="center"/>
    </xf>
    <xf numFmtId="0" fontId="16" fillId="0" borderId="14" xfId="3" applyFont="1" applyBorder="1" applyAlignment="1">
      <alignment horizontal="center" vertical="center"/>
    </xf>
    <xf numFmtId="0" fontId="16" fillId="0" borderId="16" xfId="3" applyFont="1" applyBorder="1" applyAlignment="1">
      <alignment horizontal="center" vertical="center"/>
    </xf>
    <xf numFmtId="0" fontId="16" fillId="0" borderId="33" xfId="3" applyFont="1" applyBorder="1" applyAlignment="1">
      <alignment horizontal="center" vertical="center"/>
    </xf>
    <xf numFmtId="0" fontId="16" fillId="0" borderId="15" xfId="3" applyFont="1" applyBorder="1" applyAlignment="1">
      <alignment horizontal="center" vertical="center"/>
    </xf>
    <xf numFmtId="0" fontId="16" fillId="0" borderId="32" xfId="3" applyFont="1" applyBorder="1" applyAlignment="1">
      <alignment horizontal="center" vertical="center"/>
    </xf>
    <xf numFmtId="0" fontId="21" fillId="2" borderId="35" xfId="0" applyFont="1" applyFill="1" applyBorder="1" applyAlignment="1">
      <alignment horizontal="left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left" vertical="center"/>
    </xf>
    <xf numFmtId="0" fontId="30" fillId="0" borderId="1" xfId="4" applyFont="1" applyBorder="1" applyAlignment="1">
      <alignment horizontal="center" vertical="center" wrapText="1"/>
    </xf>
    <xf numFmtId="0" fontId="30" fillId="0" borderId="2" xfId="4" applyFont="1" applyBorder="1" applyAlignment="1">
      <alignment horizontal="center" vertical="center" wrapText="1"/>
    </xf>
    <xf numFmtId="0" fontId="30" fillId="0" borderId="3" xfId="4" applyFont="1" applyBorder="1" applyAlignment="1">
      <alignment horizontal="center" vertical="center" wrapText="1"/>
    </xf>
    <xf numFmtId="0" fontId="29" fillId="0" borderId="27" xfId="5" applyFont="1" applyBorder="1">
      <alignment vertical="center"/>
    </xf>
    <xf numFmtId="0" fontId="29" fillId="0" borderId="4" xfId="5" applyFont="1" applyBorder="1">
      <alignment vertical="center"/>
    </xf>
    <xf numFmtId="0" fontId="29" fillId="0" borderId="6" xfId="5" applyFont="1" applyBorder="1">
      <alignment vertical="center"/>
    </xf>
    <xf numFmtId="0" fontId="25" fillId="0" borderId="27" xfId="5" applyFont="1" applyBorder="1" applyAlignment="1">
      <alignment horizontal="center" vertical="center"/>
    </xf>
    <xf numFmtId="0" fontId="25" fillId="0" borderId="4" xfId="5" applyFont="1" applyBorder="1" applyAlignment="1">
      <alignment horizontal="center" vertical="center"/>
    </xf>
    <xf numFmtId="0" fontId="25" fillId="0" borderId="6" xfId="5" applyFont="1" applyBorder="1" applyAlignment="1">
      <alignment horizontal="center" vertical="center"/>
    </xf>
    <xf numFmtId="0" fontId="21" fillId="0" borderId="27" xfId="4" applyFont="1" applyBorder="1" applyAlignment="1">
      <alignment horizontal="center" vertical="center"/>
    </xf>
    <xf numFmtId="41" fontId="21" fillId="3" borderId="26" xfId="0" applyNumberFormat="1" applyFont="1" applyFill="1" applyBorder="1" applyAlignment="1">
      <alignment horizontal="center" vertical="center" shrinkToFit="1"/>
    </xf>
    <xf numFmtId="0" fontId="21" fillId="3" borderId="23" xfId="0" applyFont="1" applyFill="1" applyBorder="1" applyAlignment="1">
      <alignment horizontal="center" vertical="center" shrinkToFit="1"/>
    </xf>
    <xf numFmtId="0" fontId="21" fillId="0" borderId="38" xfId="0" applyFont="1" applyBorder="1" applyAlignment="1">
      <alignment horizontal="left" vertical="center"/>
    </xf>
    <xf numFmtId="0" fontId="21" fillId="0" borderId="37" xfId="0" applyFont="1" applyBorder="1" applyAlignment="1">
      <alignment horizontal="left" vertical="center"/>
    </xf>
    <xf numFmtId="0" fontId="33" fillId="5" borderId="35" xfId="3" applyFont="1" applyFill="1" applyBorder="1" applyAlignment="1">
      <alignment horizontal="center" vertical="center"/>
    </xf>
    <xf numFmtId="0" fontId="33" fillId="5" borderId="43" xfId="3" applyFont="1" applyFill="1" applyBorder="1" applyAlignment="1">
      <alignment horizontal="center" vertical="center"/>
    </xf>
    <xf numFmtId="0" fontId="6" fillId="0" borderId="42" xfId="3" applyBorder="1" applyAlignment="1">
      <alignment horizontal="center" vertical="center"/>
    </xf>
    <xf numFmtId="0" fontId="6" fillId="0" borderId="41" xfId="3" applyBorder="1" applyAlignment="1">
      <alignment horizontal="center" vertical="center"/>
    </xf>
    <xf numFmtId="0" fontId="35" fillId="0" borderId="0" xfId="3" applyFont="1" applyAlignment="1">
      <alignment horizontal="center" vertical="center"/>
    </xf>
    <xf numFmtId="0" fontId="36" fillId="0" borderId="0" xfId="3" applyFont="1" applyAlignment="1">
      <alignment horizontal="center" vertical="center"/>
    </xf>
    <xf numFmtId="0" fontId="33" fillId="0" borderId="48" xfId="3" applyFont="1" applyBorder="1" applyAlignment="1">
      <alignment horizontal="center" vertical="center"/>
    </xf>
    <xf numFmtId="0" fontId="33" fillId="0" borderId="47" xfId="3" applyFont="1" applyBorder="1" applyAlignment="1">
      <alignment horizontal="center" vertical="center"/>
    </xf>
    <xf numFmtId="0" fontId="33" fillId="0" borderId="20" xfId="10" applyFont="1" applyBorder="1" applyAlignment="1">
      <alignment horizontal="center" vertical="center"/>
    </xf>
    <xf numFmtId="0" fontId="33" fillId="0" borderId="11" xfId="10" applyFont="1" applyBorder="1" applyAlignment="1">
      <alignment horizontal="center" vertical="center"/>
    </xf>
    <xf numFmtId="0" fontId="33" fillId="7" borderId="46" xfId="9" applyFont="1" applyFill="1" applyBorder="1" applyAlignment="1">
      <alignment horizontal="center" vertical="center"/>
    </xf>
    <xf numFmtId="0" fontId="33" fillId="7" borderId="40" xfId="9" applyFont="1" applyFill="1" applyBorder="1" applyAlignment="1">
      <alignment horizontal="center" vertical="center"/>
    </xf>
    <xf numFmtId="0" fontId="33" fillId="7" borderId="45" xfId="9" applyFont="1" applyFill="1" applyBorder="1" applyAlignment="1">
      <alignment horizontal="center" vertical="center"/>
    </xf>
    <xf numFmtId="0" fontId="33" fillId="7" borderId="44" xfId="9" applyFont="1" applyFill="1" applyBorder="1" applyAlignment="1">
      <alignment horizontal="center" vertical="center"/>
    </xf>
    <xf numFmtId="0" fontId="33" fillId="7" borderId="5" xfId="9" applyFont="1" applyFill="1" applyBorder="1" applyAlignment="1">
      <alignment horizontal="center" vertical="center"/>
    </xf>
    <xf numFmtId="0" fontId="13" fillId="0" borderId="4" xfId="3" applyFont="1" applyBorder="1" applyAlignment="1">
      <alignment horizontal="center" vertical="center"/>
    </xf>
    <xf numFmtId="0" fontId="13" fillId="0" borderId="4" xfId="3" applyFont="1" applyBorder="1" applyAlignment="1">
      <alignment horizontal="center" vertical="center" wrapText="1"/>
    </xf>
    <xf numFmtId="0" fontId="38" fillId="0" borderId="4" xfId="3" applyFont="1" applyBorder="1" applyAlignment="1">
      <alignment horizontal="center" vertical="center"/>
    </xf>
    <xf numFmtId="0" fontId="38" fillId="0" borderId="6" xfId="3" applyFont="1" applyBorder="1" applyAlignment="1">
      <alignment horizontal="center" vertical="center"/>
    </xf>
    <xf numFmtId="0" fontId="38" fillId="0" borderId="34" xfId="3" applyFont="1" applyBorder="1" applyAlignment="1">
      <alignment horizontal="left" vertical="center" wrapText="1"/>
    </xf>
    <xf numFmtId="0" fontId="38" fillId="0" borderId="17" xfId="3" applyFont="1" applyBorder="1" applyAlignment="1">
      <alignment horizontal="left" vertical="center" wrapText="1"/>
    </xf>
    <xf numFmtId="0" fontId="38" fillId="0" borderId="18" xfId="3" applyFont="1" applyBorder="1" applyAlignment="1">
      <alignment horizontal="left" vertical="center" wrapText="1"/>
    </xf>
    <xf numFmtId="0" fontId="39" fillId="0" borderId="4" xfId="3" applyFont="1" applyBorder="1" applyAlignment="1">
      <alignment horizontal="center" vertical="center"/>
    </xf>
    <xf numFmtId="0" fontId="39" fillId="0" borderId="6" xfId="3" applyFont="1" applyBorder="1" applyAlignment="1">
      <alignment horizontal="center" vertical="center"/>
    </xf>
    <xf numFmtId="0" fontId="11" fillId="0" borderId="4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38" fillId="0" borderId="27" xfId="3" applyFont="1" applyBorder="1" applyAlignment="1">
      <alignment horizontal="center" vertical="center"/>
    </xf>
    <xf numFmtId="0" fontId="40" fillId="0" borderId="4" xfId="3" applyFont="1" applyBorder="1" applyAlignment="1">
      <alignment horizontal="center" vertical="center"/>
    </xf>
    <xf numFmtId="0" fontId="39" fillId="0" borderId="27" xfId="3" applyFont="1" applyBorder="1" applyAlignment="1">
      <alignment horizontal="center" vertical="center"/>
    </xf>
    <xf numFmtId="0" fontId="39" fillId="0" borderId="4" xfId="3" applyFont="1" applyBorder="1" applyAlignment="1">
      <alignment horizontal="center" vertical="center" wrapText="1"/>
    </xf>
    <xf numFmtId="0" fontId="39" fillId="0" borderId="27" xfId="3" applyFont="1" applyBorder="1" applyAlignment="1">
      <alignment horizontal="center" vertical="center" wrapText="1"/>
    </xf>
    <xf numFmtId="0" fontId="39" fillId="0" borderId="46" xfId="3" applyFont="1" applyBorder="1" applyAlignment="1">
      <alignment horizontal="center" vertical="center"/>
    </xf>
    <xf numFmtId="0" fontId="39" fillId="0" borderId="50" xfId="3" applyFont="1" applyBorder="1" applyAlignment="1">
      <alignment horizontal="center" vertical="center"/>
    </xf>
    <xf numFmtId="3" fontId="39" fillId="0" borderId="4" xfId="3" applyNumberFormat="1" applyFont="1" applyBorder="1" applyAlignment="1">
      <alignment horizontal="center" vertical="center"/>
    </xf>
    <xf numFmtId="0" fontId="39" fillId="0" borderId="40" xfId="3" applyFont="1" applyBorder="1" applyAlignment="1">
      <alignment horizontal="center" vertical="center"/>
    </xf>
    <xf numFmtId="0" fontId="43" fillId="0" borderId="4" xfId="3" applyFont="1" applyBorder="1" applyAlignment="1">
      <alignment horizontal="center" vertical="center"/>
    </xf>
    <xf numFmtId="0" fontId="43" fillId="0" borderId="4" xfId="3" applyFont="1" applyBorder="1" applyAlignment="1">
      <alignment horizontal="center" vertical="center" wrapText="1"/>
    </xf>
    <xf numFmtId="0" fontId="46" fillId="0" borderId="0" xfId="3" applyFont="1" applyAlignment="1">
      <alignment horizontal="center" vertical="center"/>
    </xf>
    <xf numFmtId="0" fontId="39" fillId="0" borderId="54" xfId="3" applyFont="1" applyBorder="1" applyAlignment="1">
      <alignment horizontal="left" vertical="top"/>
    </xf>
    <xf numFmtId="0" fontId="39" fillId="0" borderId="47" xfId="3" applyFont="1" applyBorder="1" applyAlignment="1">
      <alignment horizontal="left" vertical="top"/>
    </xf>
    <xf numFmtId="0" fontId="39" fillId="0" borderId="53" xfId="3" applyFont="1" applyBorder="1" applyAlignment="1">
      <alignment horizontal="left" vertical="top"/>
    </xf>
    <xf numFmtId="0" fontId="45" fillId="0" borderId="4" xfId="3" applyFont="1" applyBorder="1" applyAlignment="1">
      <alignment horizontal="center" vertical="center"/>
    </xf>
    <xf numFmtId="0" fontId="45" fillId="0" borderId="6" xfId="3" applyFont="1" applyBorder="1" applyAlignment="1">
      <alignment horizontal="center" vertical="center"/>
    </xf>
    <xf numFmtId="0" fontId="45" fillId="0" borderId="52" xfId="3" applyFont="1" applyBorder="1" applyAlignment="1">
      <alignment vertical="center" wrapText="1"/>
    </xf>
    <xf numFmtId="0" fontId="45" fillId="0" borderId="50" xfId="3" applyFont="1" applyBorder="1" applyAlignment="1">
      <alignment vertical="center" wrapText="1"/>
    </xf>
    <xf numFmtId="0" fontId="45" fillId="0" borderId="50" xfId="3" applyFont="1" applyBorder="1" applyAlignment="1">
      <alignment vertical="center"/>
    </xf>
    <xf numFmtId="0" fontId="45" fillId="0" borderId="51" xfId="3" applyFont="1" applyBorder="1" applyAlignment="1">
      <alignment vertical="center"/>
    </xf>
  </cellXfs>
  <cellStyles count="11">
    <cellStyle name="백분율" xfId="1" builtinId="5"/>
    <cellStyle name="쉼표 [0]" xfId="2" builtinId="6"/>
    <cellStyle name="쉼표 [0] 2" xfId="6" xr:uid="{79CB97B3-AB25-4297-A6E3-02246268AE66}"/>
    <cellStyle name="쉼표 [0] 4" xfId="7" xr:uid="{BAE51D74-621A-4D16-BAC0-57803C8D1720}"/>
    <cellStyle name="쉼표 [0] 5" xfId="8" xr:uid="{BAF90F4A-C5FD-4B81-BF7F-547C36CDA0F3}"/>
    <cellStyle name="표준" xfId="0" builtinId="0"/>
    <cellStyle name="표준 17" xfId="4" xr:uid="{ABA49C16-E980-4B4E-8E7F-DDD6104137AC}"/>
    <cellStyle name="표준 2" xfId="3" xr:uid="{3B3A8C10-9277-40C7-AB19-4F761E2B0B8B}"/>
    <cellStyle name="표준 2 15" xfId="5" xr:uid="{380FDBAA-EDEB-426A-A879-385DAB5081E3}"/>
    <cellStyle name="표준 3" xfId="10" xr:uid="{22604CA7-C038-4C6D-96DA-12B48B721A9C}"/>
    <cellStyle name="표준 4" xfId="9" xr:uid="{73CC2120-A066-4CE8-8C7F-FB65C14A78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14</xdr:row>
      <xdr:rowOff>228600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95FB958-526D-47FA-91D7-25E0A13697ED}"/>
            </a:ext>
          </a:extLst>
        </xdr:cNvPr>
        <xdr:cNvSpPr txBox="1"/>
      </xdr:nvSpPr>
      <xdr:spPr>
        <a:xfrm>
          <a:off x="6934200" y="4010025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ko-KR" alt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2968D-C8C3-4CD3-BAF2-B76758A35492}">
  <dimension ref="A1:G32"/>
  <sheetViews>
    <sheetView workbookViewId="0">
      <selection activeCell="F9" sqref="F9"/>
    </sheetView>
  </sheetViews>
  <sheetFormatPr defaultRowHeight="17.600000000000001"/>
  <cols>
    <col min="1" max="7" width="13" customWidth="1"/>
  </cols>
  <sheetData>
    <row r="1" spans="1:7" ht="21.9">
      <c r="A1" s="143" t="s">
        <v>12</v>
      </c>
      <c r="B1" s="143"/>
      <c r="C1" s="143"/>
      <c r="D1" s="143"/>
      <c r="E1" s="143"/>
      <c r="F1" s="143"/>
      <c r="G1" s="143"/>
    </row>
    <row r="2" spans="1:7">
      <c r="A2" s="144" t="s">
        <v>0</v>
      </c>
      <c r="B2" s="144"/>
      <c r="C2" s="144"/>
      <c r="D2" s="144"/>
      <c r="E2" s="144"/>
      <c r="F2" s="144"/>
      <c r="G2" s="144"/>
    </row>
    <row r="3" spans="1:7" ht="18" thickBot="1">
      <c r="A3" s="144" t="s">
        <v>11</v>
      </c>
      <c r="B3" s="144"/>
      <c r="C3" s="144"/>
      <c r="D3" s="144"/>
      <c r="E3" s="144"/>
      <c r="F3" s="144"/>
      <c r="G3" s="144"/>
    </row>
    <row r="4" spans="1:7">
      <c r="A4" s="1" t="s">
        <v>6</v>
      </c>
      <c r="B4" s="145" t="s">
        <v>8</v>
      </c>
      <c r="C4" s="145" t="s">
        <v>9</v>
      </c>
      <c r="D4" s="145" t="s">
        <v>10</v>
      </c>
      <c r="E4" s="149" t="s">
        <v>7</v>
      </c>
      <c r="F4" s="149" t="s">
        <v>2</v>
      </c>
      <c r="G4" s="153" t="s">
        <v>3</v>
      </c>
    </row>
    <row r="5" spans="1:7">
      <c r="A5" s="156" t="s">
        <v>13</v>
      </c>
      <c r="B5" s="146"/>
      <c r="C5" s="146"/>
      <c r="D5" s="148"/>
      <c r="E5" s="150"/>
      <c r="F5" s="151"/>
      <c r="G5" s="154"/>
    </row>
    <row r="6" spans="1:7" ht="18" thickBot="1">
      <c r="A6" s="157"/>
      <c r="B6" s="147"/>
      <c r="C6" s="147"/>
      <c r="D6" s="11" t="s">
        <v>4</v>
      </c>
      <c r="E6" s="13" t="s">
        <v>1</v>
      </c>
      <c r="F6" s="152"/>
      <c r="G6" s="155"/>
    </row>
    <row r="7" spans="1:7" ht="24" customHeight="1" thickTop="1">
      <c r="A7" s="139"/>
      <c r="B7" s="12">
        <v>1</v>
      </c>
      <c r="C7" s="2">
        <v>11</v>
      </c>
      <c r="D7" s="2">
        <v>17</v>
      </c>
      <c r="E7" s="3">
        <v>19</v>
      </c>
      <c r="F7" s="3">
        <f t="shared" ref="F7:F31" si="0">E7-D7</f>
        <v>2</v>
      </c>
      <c r="G7" s="4">
        <f t="shared" ref="G7:G31" si="1">F7/D7</f>
        <v>0.11764705882352941</v>
      </c>
    </row>
    <row r="8" spans="1:7" ht="24" customHeight="1">
      <c r="A8" s="139"/>
      <c r="B8" s="12">
        <v>2</v>
      </c>
      <c r="C8" s="2">
        <v>25</v>
      </c>
      <c r="D8" s="2">
        <v>34</v>
      </c>
      <c r="E8" s="2">
        <v>32</v>
      </c>
      <c r="F8" s="3">
        <f t="shared" si="0"/>
        <v>-2</v>
      </c>
      <c r="G8" s="4">
        <f t="shared" si="1"/>
        <v>-5.8823529411764705E-2</v>
      </c>
    </row>
    <row r="9" spans="1:7" ht="24" customHeight="1">
      <c r="A9" s="139"/>
      <c r="B9" s="12">
        <v>3</v>
      </c>
      <c r="C9" s="2">
        <v>32</v>
      </c>
      <c r="D9" s="2">
        <v>4</v>
      </c>
      <c r="E9" s="2">
        <v>4</v>
      </c>
      <c r="F9" s="3">
        <f t="shared" si="0"/>
        <v>0</v>
      </c>
      <c r="G9" s="5">
        <f t="shared" si="1"/>
        <v>0</v>
      </c>
    </row>
    <row r="10" spans="1:7" ht="24" customHeight="1">
      <c r="A10" s="139"/>
      <c r="B10" s="12">
        <v>4</v>
      </c>
      <c r="C10" s="2">
        <v>299</v>
      </c>
      <c r="D10" s="2">
        <v>7</v>
      </c>
      <c r="E10" s="2">
        <v>7</v>
      </c>
      <c r="F10" s="3">
        <f t="shared" si="0"/>
        <v>0</v>
      </c>
      <c r="G10" s="5">
        <f t="shared" si="1"/>
        <v>0</v>
      </c>
    </row>
    <row r="11" spans="1:7" ht="24" customHeight="1">
      <c r="A11" s="139"/>
      <c r="B11" s="12">
        <v>5</v>
      </c>
      <c r="C11" s="2">
        <v>304</v>
      </c>
      <c r="D11" s="2">
        <v>14</v>
      </c>
      <c r="E11" s="3">
        <v>11</v>
      </c>
      <c r="F11" s="3">
        <f t="shared" si="0"/>
        <v>-3</v>
      </c>
      <c r="G11" s="4">
        <f t="shared" si="1"/>
        <v>-0.21428571428571427</v>
      </c>
    </row>
    <row r="12" spans="1:7" ht="24" customHeight="1">
      <c r="A12" s="139"/>
      <c r="B12" s="12">
        <v>6</v>
      </c>
      <c r="C12" s="2">
        <v>316</v>
      </c>
      <c r="D12" s="2">
        <v>17</v>
      </c>
      <c r="E12" s="3">
        <v>16</v>
      </c>
      <c r="F12" s="3">
        <f t="shared" si="0"/>
        <v>-1</v>
      </c>
      <c r="G12" s="4">
        <f t="shared" si="1"/>
        <v>-5.8823529411764705E-2</v>
      </c>
    </row>
    <row r="13" spans="1:7" ht="24" customHeight="1">
      <c r="A13" s="139"/>
      <c r="B13" s="12">
        <v>7</v>
      </c>
      <c r="C13" s="2">
        <v>350</v>
      </c>
      <c r="D13" s="2">
        <v>46</v>
      </c>
      <c r="E13" s="3">
        <v>49</v>
      </c>
      <c r="F13" s="3">
        <f t="shared" si="0"/>
        <v>3</v>
      </c>
      <c r="G13" s="4">
        <f t="shared" si="1"/>
        <v>6.5217391304347824E-2</v>
      </c>
    </row>
    <row r="14" spans="1:7" ht="24" customHeight="1">
      <c r="A14" s="139"/>
      <c r="B14" s="12">
        <v>8</v>
      </c>
      <c r="C14" s="2">
        <v>387</v>
      </c>
      <c r="D14" s="2">
        <v>31</v>
      </c>
      <c r="E14" s="3">
        <v>26</v>
      </c>
      <c r="F14" s="3">
        <f t="shared" si="0"/>
        <v>-5</v>
      </c>
      <c r="G14" s="4">
        <f t="shared" si="1"/>
        <v>-0.16129032258064516</v>
      </c>
    </row>
    <row r="15" spans="1:7" ht="24" customHeight="1">
      <c r="A15" s="139"/>
      <c r="B15" s="12">
        <v>9</v>
      </c>
      <c r="C15" s="2">
        <v>418</v>
      </c>
      <c r="D15" s="2">
        <v>29</v>
      </c>
      <c r="E15" s="3">
        <v>32</v>
      </c>
      <c r="F15" s="3">
        <f t="shared" si="0"/>
        <v>3</v>
      </c>
      <c r="G15" s="4">
        <f t="shared" si="1"/>
        <v>0.10344827586206896</v>
      </c>
    </row>
    <row r="16" spans="1:7" ht="24" customHeight="1">
      <c r="A16" s="139"/>
      <c r="B16" s="12">
        <v>10</v>
      </c>
      <c r="C16" s="2">
        <v>435</v>
      </c>
      <c r="D16" s="2">
        <v>13</v>
      </c>
      <c r="E16" s="3">
        <v>12</v>
      </c>
      <c r="F16" s="3">
        <f t="shared" si="0"/>
        <v>-1</v>
      </c>
      <c r="G16" s="4">
        <f t="shared" si="1"/>
        <v>-7.6923076923076927E-2</v>
      </c>
    </row>
    <row r="17" spans="1:7" ht="24" customHeight="1">
      <c r="A17" s="139"/>
      <c r="B17" s="12">
        <v>11</v>
      </c>
      <c r="C17" s="2">
        <v>456</v>
      </c>
      <c r="D17" s="2">
        <v>62</v>
      </c>
      <c r="E17" s="3">
        <v>50</v>
      </c>
      <c r="F17" s="3">
        <f>E17-D17</f>
        <v>-12</v>
      </c>
      <c r="G17" s="5">
        <f>F17/D17</f>
        <v>-0.19354838709677419</v>
      </c>
    </row>
    <row r="18" spans="1:7" ht="24" customHeight="1">
      <c r="A18" s="139"/>
      <c r="B18" s="12">
        <v>12</v>
      </c>
      <c r="C18" s="2">
        <v>482</v>
      </c>
      <c r="D18" s="2">
        <v>40</v>
      </c>
      <c r="E18" s="3">
        <v>43</v>
      </c>
      <c r="F18" s="3">
        <f>E18-D18</f>
        <v>3</v>
      </c>
      <c r="G18" s="5">
        <f>F18/D18</f>
        <v>7.4999999999999997E-2</v>
      </c>
    </row>
    <row r="19" spans="1:7" ht="24" customHeight="1">
      <c r="A19" s="139"/>
      <c r="B19" s="12">
        <v>13</v>
      </c>
      <c r="C19" s="2">
        <v>491</v>
      </c>
      <c r="D19" s="2">
        <v>38</v>
      </c>
      <c r="E19" s="3">
        <v>37</v>
      </c>
      <c r="F19" s="3">
        <f t="shared" si="0"/>
        <v>-1</v>
      </c>
      <c r="G19" s="5">
        <f t="shared" si="1"/>
        <v>-2.6315789473684209E-2</v>
      </c>
    </row>
    <row r="20" spans="1:7" ht="24" customHeight="1">
      <c r="A20" s="139"/>
      <c r="B20" s="12">
        <v>14</v>
      </c>
      <c r="C20" s="2">
        <v>513</v>
      </c>
      <c r="D20" s="2">
        <v>38</v>
      </c>
      <c r="E20" s="3">
        <v>35</v>
      </c>
      <c r="F20" s="3">
        <f t="shared" si="0"/>
        <v>-3</v>
      </c>
      <c r="G20" s="4">
        <f t="shared" si="1"/>
        <v>-7.8947368421052627E-2</v>
      </c>
    </row>
    <row r="21" spans="1:7" ht="24" customHeight="1">
      <c r="A21" s="139"/>
      <c r="B21" s="12">
        <v>15</v>
      </c>
      <c r="C21" s="2">
        <v>527</v>
      </c>
      <c r="D21" s="3">
        <v>29</v>
      </c>
      <c r="E21" s="3">
        <v>31</v>
      </c>
      <c r="F21" s="3">
        <f t="shared" si="0"/>
        <v>2</v>
      </c>
      <c r="G21" s="5">
        <f t="shared" si="1"/>
        <v>6.8965517241379309E-2</v>
      </c>
    </row>
    <row r="22" spans="1:7" ht="24" customHeight="1">
      <c r="A22" s="139"/>
      <c r="B22" s="12">
        <v>16</v>
      </c>
      <c r="C22" s="2">
        <v>534</v>
      </c>
      <c r="D22" s="2">
        <v>17</v>
      </c>
      <c r="E22" s="2">
        <v>16</v>
      </c>
      <c r="F22" s="3">
        <f t="shared" si="0"/>
        <v>-1</v>
      </c>
      <c r="G22" s="4">
        <f t="shared" si="1"/>
        <v>-5.8823529411764705E-2</v>
      </c>
    </row>
    <row r="23" spans="1:7" ht="24" customHeight="1">
      <c r="A23" s="139"/>
      <c r="B23" s="12">
        <v>17</v>
      </c>
      <c r="C23" s="2">
        <v>536</v>
      </c>
      <c r="D23" s="2">
        <v>43</v>
      </c>
      <c r="E23" s="2">
        <v>43</v>
      </c>
      <c r="F23" s="3">
        <f t="shared" si="0"/>
        <v>0</v>
      </c>
      <c r="G23" s="4">
        <f t="shared" si="1"/>
        <v>0</v>
      </c>
    </row>
    <row r="24" spans="1:7" ht="24" customHeight="1">
      <c r="A24" s="139"/>
      <c r="B24" s="12">
        <v>18</v>
      </c>
      <c r="C24" s="7">
        <v>546</v>
      </c>
      <c r="D24" s="2">
        <v>44</v>
      </c>
      <c r="E24" s="2">
        <v>45</v>
      </c>
      <c r="F24" s="3">
        <f t="shared" si="0"/>
        <v>1</v>
      </c>
      <c r="G24" s="4">
        <f t="shared" si="1"/>
        <v>2.2727272727272728E-2</v>
      </c>
    </row>
    <row r="25" spans="1:7" ht="24" customHeight="1">
      <c r="A25" s="139"/>
      <c r="B25" s="12">
        <v>19</v>
      </c>
      <c r="C25" s="2"/>
      <c r="D25" s="2"/>
      <c r="E25" s="2"/>
      <c r="F25" s="3">
        <f t="shared" si="0"/>
        <v>0</v>
      </c>
      <c r="G25" s="4" t="e">
        <f t="shared" si="1"/>
        <v>#DIV/0!</v>
      </c>
    </row>
    <row r="26" spans="1:7" ht="24" customHeight="1">
      <c r="A26" s="139"/>
      <c r="B26" s="12">
        <v>20</v>
      </c>
      <c r="C26" s="7"/>
      <c r="D26" s="2"/>
      <c r="E26" s="2"/>
      <c r="F26" s="3">
        <f>E26-D26</f>
        <v>0</v>
      </c>
      <c r="G26" s="4" t="e">
        <f t="shared" si="1"/>
        <v>#DIV/0!</v>
      </c>
    </row>
    <row r="27" spans="1:7" ht="24" customHeight="1">
      <c r="A27" s="139"/>
      <c r="B27" s="12">
        <v>21</v>
      </c>
      <c r="C27" s="2"/>
      <c r="D27" s="2"/>
      <c r="E27" s="2"/>
      <c r="F27" s="3">
        <f t="shared" si="0"/>
        <v>0</v>
      </c>
      <c r="G27" s="4" t="e">
        <f t="shared" si="1"/>
        <v>#DIV/0!</v>
      </c>
    </row>
    <row r="28" spans="1:7" ht="24" customHeight="1">
      <c r="A28" s="139"/>
      <c r="B28" s="12">
        <v>22</v>
      </c>
      <c r="C28" s="2"/>
      <c r="D28" s="2"/>
      <c r="E28" s="2"/>
      <c r="F28" s="3">
        <f t="shared" si="0"/>
        <v>0</v>
      </c>
      <c r="G28" s="4" t="e">
        <f t="shared" si="1"/>
        <v>#DIV/0!</v>
      </c>
    </row>
    <row r="29" spans="1:7" ht="24" customHeight="1">
      <c r="A29" s="139"/>
      <c r="B29" s="12">
        <v>23</v>
      </c>
      <c r="C29" s="6"/>
      <c r="D29" s="2"/>
      <c r="E29" s="2"/>
      <c r="F29" s="3">
        <f t="shared" si="0"/>
        <v>0</v>
      </c>
      <c r="G29" s="4" t="e">
        <f t="shared" si="1"/>
        <v>#DIV/0!</v>
      </c>
    </row>
    <row r="30" spans="1:7" ht="24" customHeight="1">
      <c r="A30" s="139"/>
      <c r="B30" s="12">
        <v>24</v>
      </c>
      <c r="C30" s="2"/>
      <c r="D30" s="2"/>
      <c r="E30" s="2"/>
      <c r="F30" s="3">
        <f t="shared" si="0"/>
        <v>0</v>
      </c>
      <c r="G30" s="4" t="e">
        <f t="shared" si="1"/>
        <v>#DIV/0!</v>
      </c>
    </row>
    <row r="31" spans="1:7" ht="24" customHeight="1">
      <c r="A31" s="139"/>
      <c r="B31" s="12">
        <v>25</v>
      </c>
      <c r="C31" s="8"/>
      <c r="D31" s="2"/>
      <c r="E31" s="2"/>
      <c r="F31" s="3">
        <f t="shared" si="0"/>
        <v>0</v>
      </c>
      <c r="G31" s="4" t="e">
        <f t="shared" si="1"/>
        <v>#DIV/0!</v>
      </c>
    </row>
    <row r="32" spans="1:7" ht="24" customHeight="1" thickBot="1">
      <c r="A32" s="140" t="s">
        <v>5</v>
      </c>
      <c r="B32" s="141"/>
      <c r="C32" s="142"/>
      <c r="D32" s="14">
        <f>SUM(D7:D31)</f>
        <v>523</v>
      </c>
      <c r="E32" s="9">
        <f>SUM(E7:E31)</f>
        <v>508</v>
      </c>
      <c r="F32" s="9">
        <f>SUM(F7:F31)</f>
        <v>-15</v>
      </c>
      <c r="G32" s="10">
        <f>F32/E32</f>
        <v>-2.952755905511811E-2</v>
      </c>
    </row>
  </sheetData>
  <sortState xmlns:xlrd2="http://schemas.microsoft.com/office/spreadsheetml/2017/richdata2" ref="C7:E24">
    <sortCondition ref="C7:C24"/>
  </sortState>
  <mergeCells count="12">
    <mergeCell ref="A7:A31"/>
    <mergeCell ref="A32:C32"/>
    <mergeCell ref="A1:G1"/>
    <mergeCell ref="A2:G2"/>
    <mergeCell ref="A3:G3"/>
    <mergeCell ref="B4:B6"/>
    <mergeCell ref="C4:C6"/>
    <mergeCell ref="D4:D5"/>
    <mergeCell ref="E4:E5"/>
    <mergeCell ref="F4:F6"/>
    <mergeCell ref="G4:G6"/>
    <mergeCell ref="A5:A6"/>
  </mergeCells>
  <phoneticPr fontId="2" type="noConversion"/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7A4AC-1EE3-40D1-916D-A440BD02783D}">
  <sheetPr>
    <pageSetUpPr fitToPage="1"/>
  </sheetPr>
  <dimension ref="A1:F32"/>
  <sheetViews>
    <sheetView workbookViewId="0">
      <selection activeCell="L32" sqref="L32"/>
    </sheetView>
  </sheetViews>
  <sheetFormatPr defaultColWidth="8.640625" defaultRowHeight="17.25" customHeight="1"/>
  <cols>
    <col min="1" max="1" width="13.640625" style="15" customWidth="1"/>
    <col min="2" max="5" width="14.5703125" style="15" customWidth="1"/>
    <col min="6" max="6" width="15.35546875" style="15" customWidth="1"/>
    <col min="7" max="16384" width="8.640625" style="15"/>
  </cols>
  <sheetData>
    <row r="1" spans="1:6" ht="33" customHeight="1">
      <c r="A1" s="158" t="s">
        <v>36</v>
      </c>
      <c r="B1" s="158"/>
      <c r="C1" s="159"/>
      <c r="D1" s="159"/>
      <c r="E1" s="159"/>
      <c r="F1" s="159"/>
    </row>
    <row r="2" spans="1:6" s="36" customFormat="1" ht="27" customHeight="1">
      <c r="A2" s="160" t="s">
        <v>35</v>
      </c>
      <c r="B2" s="160"/>
      <c r="C2" s="161"/>
      <c r="D2" s="161"/>
      <c r="E2" s="161"/>
      <c r="F2" s="161"/>
    </row>
    <row r="3" spans="1:6" s="35" customFormat="1" ht="22.5" customHeight="1" thickBot="1">
      <c r="A3" s="162" t="s">
        <v>34</v>
      </c>
      <c r="B3" s="162"/>
      <c r="C3" s="161"/>
      <c r="D3" s="161"/>
      <c r="E3" s="161"/>
      <c r="F3" s="161"/>
    </row>
    <row r="4" spans="1:6" s="31" customFormat="1" ht="24" customHeight="1" thickBot="1">
      <c r="A4" s="34" t="s">
        <v>33</v>
      </c>
      <c r="B4" s="33" t="s">
        <v>32</v>
      </c>
      <c r="C4" s="33" t="s">
        <v>31</v>
      </c>
      <c r="D4" s="33" t="s">
        <v>30</v>
      </c>
      <c r="E4" s="33" t="s">
        <v>29</v>
      </c>
      <c r="F4" s="32" t="s">
        <v>28</v>
      </c>
    </row>
    <row r="5" spans="1:6" s="16" customFormat="1" ht="24" customHeight="1" thickTop="1">
      <c r="A5" s="30">
        <v>513</v>
      </c>
      <c r="B5" s="29" t="s">
        <v>23</v>
      </c>
      <c r="C5" s="29">
        <v>2</v>
      </c>
      <c r="D5" s="25">
        <v>35000</v>
      </c>
      <c r="E5" s="28">
        <f t="shared" ref="E5:E14" si="0">C5*D5</f>
        <v>70000</v>
      </c>
      <c r="F5" s="23" t="s">
        <v>27</v>
      </c>
    </row>
    <row r="6" spans="1:6" s="16" customFormat="1" ht="24" customHeight="1">
      <c r="A6" s="30">
        <v>350</v>
      </c>
      <c r="B6" s="29" t="s">
        <v>23</v>
      </c>
      <c r="C6" s="29">
        <v>1</v>
      </c>
      <c r="D6" s="25">
        <v>35000</v>
      </c>
      <c r="E6" s="28">
        <f t="shared" si="0"/>
        <v>35000</v>
      </c>
      <c r="F6" s="23" t="s">
        <v>26</v>
      </c>
    </row>
    <row r="7" spans="1:6" s="16" customFormat="1" ht="24" customHeight="1">
      <c r="A7" s="30">
        <v>456</v>
      </c>
      <c r="B7" s="29" t="s">
        <v>22</v>
      </c>
      <c r="C7" s="29">
        <v>2</v>
      </c>
      <c r="D7" s="25">
        <v>25000</v>
      </c>
      <c r="E7" s="28">
        <f t="shared" si="0"/>
        <v>50000</v>
      </c>
      <c r="F7" s="23" t="s">
        <v>25</v>
      </c>
    </row>
    <row r="8" spans="1:6" s="16" customFormat="1" ht="24" customHeight="1">
      <c r="A8" s="30"/>
      <c r="B8" s="29"/>
      <c r="C8" s="29"/>
      <c r="D8" s="25"/>
      <c r="E8" s="28">
        <f t="shared" si="0"/>
        <v>0</v>
      </c>
      <c r="F8" s="23"/>
    </row>
    <row r="9" spans="1:6" s="16" customFormat="1" ht="24" customHeight="1">
      <c r="A9" s="30">
        <v>527</v>
      </c>
      <c r="B9" s="29" t="s">
        <v>24</v>
      </c>
      <c r="C9" s="29">
        <v>1</v>
      </c>
      <c r="D9" s="25">
        <v>50000</v>
      </c>
      <c r="E9" s="28">
        <f t="shared" si="0"/>
        <v>50000</v>
      </c>
      <c r="F9" s="23" t="s">
        <v>15</v>
      </c>
    </row>
    <row r="10" spans="1:6" s="16" customFormat="1" ht="24" customHeight="1">
      <c r="A10" s="30">
        <v>387</v>
      </c>
      <c r="B10" s="29" t="s">
        <v>23</v>
      </c>
      <c r="C10" s="29">
        <v>2</v>
      </c>
      <c r="D10" s="25">
        <v>35000</v>
      </c>
      <c r="E10" s="28">
        <f t="shared" si="0"/>
        <v>70000</v>
      </c>
      <c r="F10" s="23" t="s">
        <v>15</v>
      </c>
    </row>
    <row r="11" spans="1:6" s="16" customFormat="1" ht="24" customHeight="1">
      <c r="A11" s="27">
        <v>316</v>
      </c>
      <c r="B11" s="29" t="s">
        <v>23</v>
      </c>
      <c r="C11" s="29">
        <v>2</v>
      </c>
      <c r="D11" s="25">
        <v>35000</v>
      </c>
      <c r="E11" s="28">
        <f t="shared" si="0"/>
        <v>70000</v>
      </c>
      <c r="F11" s="23" t="s">
        <v>15</v>
      </c>
    </row>
    <row r="12" spans="1:6" s="16" customFormat="1" ht="24" customHeight="1">
      <c r="A12" s="27">
        <v>527</v>
      </c>
      <c r="B12" s="29" t="s">
        <v>23</v>
      </c>
      <c r="C12" s="29">
        <v>3</v>
      </c>
      <c r="D12" s="25">
        <v>35000</v>
      </c>
      <c r="E12" s="28">
        <f t="shared" si="0"/>
        <v>105000</v>
      </c>
      <c r="F12" s="23" t="s">
        <v>15</v>
      </c>
    </row>
    <row r="13" spans="1:6" s="16" customFormat="1" ht="24" customHeight="1">
      <c r="A13" s="27">
        <v>25</v>
      </c>
      <c r="B13" s="29" t="s">
        <v>23</v>
      </c>
      <c r="C13" s="29">
        <v>4</v>
      </c>
      <c r="D13" s="25">
        <v>35000</v>
      </c>
      <c r="E13" s="28">
        <f t="shared" si="0"/>
        <v>140000</v>
      </c>
      <c r="F13" s="23" t="s">
        <v>15</v>
      </c>
    </row>
    <row r="14" spans="1:6" s="16" customFormat="1" ht="24" customHeight="1">
      <c r="A14" s="27">
        <v>482</v>
      </c>
      <c r="B14" s="29" t="s">
        <v>23</v>
      </c>
      <c r="C14" s="29">
        <v>4</v>
      </c>
      <c r="D14" s="25">
        <v>35000</v>
      </c>
      <c r="E14" s="28">
        <f t="shared" si="0"/>
        <v>140000</v>
      </c>
      <c r="F14" s="23" t="s">
        <v>15</v>
      </c>
    </row>
    <row r="15" spans="1:6" s="16" customFormat="1" ht="24" customHeight="1">
      <c r="A15" s="30">
        <v>491</v>
      </c>
      <c r="B15" s="29" t="s">
        <v>23</v>
      </c>
      <c r="C15" s="29">
        <v>2</v>
      </c>
      <c r="D15" s="25">
        <v>35000</v>
      </c>
      <c r="E15" s="28">
        <f t="shared" ref="E15:E30" si="1">D15*C15</f>
        <v>70000</v>
      </c>
      <c r="F15" s="23" t="s">
        <v>15</v>
      </c>
    </row>
    <row r="16" spans="1:6" s="16" customFormat="1" ht="24" customHeight="1">
      <c r="A16" s="27">
        <v>546</v>
      </c>
      <c r="B16" s="29" t="s">
        <v>23</v>
      </c>
      <c r="C16" s="26">
        <v>1</v>
      </c>
      <c r="D16" s="25">
        <v>35000</v>
      </c>
      <c r="E16" s="28">
        <f t="shared" si="1"/>
        <v>35000</v>
      </c>
      <c r="F16" s="23" t="s">
        <v>15</v>
      </c>
    </row>
    <row r="17" spans="1:6" s="16" customFormat="1" ht="24" customHeight="1">
      <c r="A17" s="27">
        <v>387</v>
      </c>
      <c r="B17" s="29" t="s">
        <v>22</v>
      </c>
      <c r="C17" s="26">
        <v>1</v>
      </c>
      <c r="D17" s="25">
        <v>25000</v>
      </c>
      <c r="E17" s="28">
        <f t="shared" si="1"/>
        <v>25000</v>
      </c>
      <c r="F17" s="23" t="s">
        <v>15</v>
      </c>
    </row>
    <row r="18" spans="1:6" s="16" customFormat="1" ht="24" customHeight="1">
      <c r="A18" s="27">
        <v>456</v>
      </c>
      <c r="B18" s="29" t="s">
        <v>22</v>
      </c>
      <c r="C18" s="26">
        <v>1</v>
      </c>
      <c r="D18" s="25">
        <v>25000</v>
      </c>
      <c r="E18" s="28">
        <f t="shared" si="1"/>
        <v>25000</v>
      </c>
      <c r="F18" s="23" t="s">
        <v>15</v>
      </c>
    </row>
    <row r="19" spans="1:6" s="16" customFormat="1" ht="24" customHeight="1">
      <c r="A19" s="27">
        <v>546</v>
      </c>
      <c r="B19" s="26" t="s">
        <v>22</v>
      </c>
      <c r="C19" s="26">
        <v>1</v>
      </c>
      <c r="D19" s="25">
        <v>25000</v>
      </c>
      <c r="E19" s="28">
        <f t="shared" si="1"/>
        <v>25000</v>
      </c>
      <c r="F19" s="23" t="s">
        <v>15</v>
      </c>
    </row>
    <row r="20" spans="1:6" s="16" customFormat="1" ht="24" customHeight="1">
      <c r="A20" s="27">
        <v>387</v>
      </c>
      <c r="B20" s="26" t="s">
        <v>20</v>
      </c>
      <c r="C20" s="26">
        <v>1</v>
      </c>
      <c r="D20" s="25">
        <v>25000</v>
      </c>
      <c r="E20" s="28">
        <f t="shared" si="1"/>
        <v>25000</v>
      </c>
      <c r="F20" s="23" t="s">
        <v>15</v>
      </c>
    </row>
    <row r="21" spans="1:6" s="16" customFormat="1" ht="24" customHeight="1">
      <c r="A21" s="27">
        <v>350</v>
      </c>
      <c r="B21" s="26" t="s">
        <v>20</v>
      </c>
      <c r="C21" s="26">
        <v>2</v>
      </c>
      <c r="D21" s="25">
        <v>25000</v>
      </c>
      <c r="E21" s="28">
        <f t="shared" si="1"/>
        <v>50000</v>
      </c>
      <c r="F21" s="23" t="s">
        <v>15</v>
      </c>
    </row>
    <row r="22" spans="1:6" s="16" customFormat="1" ht="24" customHeight="1">
      <c r="A22" s="27"/>
      <c r="B22" s="26"/>
      <c r="C22" s="26"/>
      <c r="D22" s="25"/>
      <c r="E22" s="28">
        <f t="shared" si="1"/>
        <v>0</v>
      </c>
      <c r="F22" s="23"/>
    </row>
    <row r="23" spans="1:6" s="16" customFormat="1" ht="24" customHeight="1">
      <c r="A23" s="27"/>
      <c r="B23" s="26"/>
      <c r="C23" s="26"/>
      <c r="D23" s="25"/>
      <c r="E23" s="28">
        <f t="shared" si="1"/>
        <v>0</v>
      </c>
      <c r="F23" s="23"/>
    </row>
    <row r="24" spans="1:6" s="16" customFormat="1" ht="24" customHeight="1">
      <c r="A24" s="27"/>
      <c r="B24" s="26"/>
      <c r="C24" s="26"/>
      <c r="D24" s="25"/>
      <c r="E24" s="28">
        <f t="shared" si="1"/>
        <v>0</v>
      </c>
      <c r="F24" s="23"/>
    </row>
    <row r="25" spans="1:6" s="16" customFormat="1" ht="24" customHeight="1">
      <c r="A25" s="27"/>
      <c r="B25" s="26"/>
      <c r="C25" s="26"/>
      <c r="D25" s="25"/>
      <c r="E25" s="28">
        <f t="shared" si="1"/>
        <v>0</v>
      </c>
      <c r="F25" s="23"/>
    </row>
    <row r="26" spans="1:6" s="16" customFormat="1" ht="24" customHeight="1">
      <c r="A26" s="27"/>
      <c r="B26" s="26"/>
      <c r="C26" s="26"/>
      <c r="D26" s="25"/>
      <c r="E26" s="28">
        <f t="shared" si="1"/>
        <v>0</v>
      </c>
      <c r="F26" s="23"/>
    </row>
    <row r="27" spans="1:6" s="16" customFormat="1" ht="24" customHeight="1">
      <c r="A27" s="27"/>
      <c r="B27" s="26"/>
      <c r="C27" s="26"/>
      <c r="D27" s="25"/>
      <c r="E27" s="28">
        <f t="shared" si="1"/>
        <v>0</v>
      </c>
      <c r="F27" s="23"/>
    </row>
    <row r="28" spans="1:6" s="16" customFormat="1" ht="24" customHeight="1">
      <c r="A28" s="27"/>
      <c r="B28" s="26"/>
      <c r="C28" s="26"/>
      <c r="D28" s="25"/>
      <c r="E28" s="28">
        <f t="shared" si="1"/>
        <v>0</v>
      </c>
      <c r="F28" s="23"/>
    </row>
    <row r="29" spans="1:6" s="16" customFormat="1" ht="24" customHeight="1">
      <c r="A29" s="27"/>
      <c r="B29" s="26"/>
      <c r="C29" s="26"/>
      <c r="D29" s="25"/>
      <c r="E29" s="28">
        <f t="shared" si="1"/>
        <v>0</v>
      </c>
      <c r="F29" s="23"/>
    </row>
    <row r="30" spans="1:6" ht="24" customHeight="1" thickBot="1">
      <c r="A30" s="27"/>
      <c r="B30" s="26"/>
      <c r="C30" s="26"/>
      <c r="D30" s="25"/>
      <c r="E30" s="24">
        <f t="shared" si="1"/>
        <v>0</v>
      </c>
      <c r="F30" s="23"/>
    </row>
    <row r="31" spans="1:6" ht="24" customHeight="1" thickBot="1">
      <c r="A31" s="163" t="s">
        <v>18</v>
      </c>
      <c r="B31" s="164"/>
      <c r="C31" s="21">
        <f>SUM(C5:C30)</f>
        <v>30</v>
      </c>
      <c r="D31" s="22" t="s">
        <v>17</v>
      </c>
      <c r="E31" s="21">
        <f>SUM(E5:E30)</f>
        <v>985000</v>
      </c>
      <c r="F31" s="20"/>
    </row>
    <row r="32" spans="1:6" s="16" customFormat="1" ht="24" customHeight="1" thickBot="1">
      <c r="A32" s="18" t="s">
        <v>16</v>
      </c>
      <c r="B32" s="19"/>
      <c r="C32" s="18" t="s">
        <v>15</v>
      </c>
      <c r="D32" s="19">
        <v>830000</v>
      </c>
      <c r="E32" s="18" t="s">
        <v>14</v>
      </c>
      <c r="F32" s="17">
        <v>155000</v>
      </c>
    </row>
  </sheetData>
  <mergeCells count="4">
    <mergeCell ref="A1:F1"/>
    <mergeCell ref="A2:F2"/>
    <mergeCell ref="A3:F3"/>
    <mergeCell ref="A31:B31"/>
  </mergeCells>
  <phoneticPr fontId="2" type="noConversion"/>
  <pageMargins left="0.41" right="0.16" top="0.89" bottom="0.41" header="0.35" footer="0.28000000000000003"/>
  <pageSetup paperSize="9" scale="9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DCE7F-1E16-423B-9525-BC2DFD2B519D}">
  <sheetPr>
    <pageSetUpPr fitToPage="1"/>
  </sheetPr>
  <dimension ref="A1:J31"/>
  <sheetViews>
    <sheetView zoomScaleNormal="100" workbookViewId="0">
      <selection activeCell="J18" sqref="J18"/>
    </sheetView>
  </sheetViews>
  <sheetFormatPr defaultColWidth="8.640625" defaultRowHeight="17.25" customHeight="1"/>
  <cols>
    <col min="1" max="1" width="7.7109375" style="15" customWidth="1"/>
    <col min="2" max="3" width="6.35546875" style="15" customWidth="1"/>
    <col min="4" max="4" width="9.35546875" style="15" customWidth="1"/>
    <col min="5" max="5" width="12.92578125" style="15" customWidth="1"/>
    <col min="6" max="6" width="8" style="15" customWidth="1"/>
    <col min="7" max="7" width="6.5703125" style="15" customWidth="1"/>
    <col min="8" max="8" width="6.42578125" style="15" customWidth="1"/>
    <col min="9" max="9" width="9" style="15" customWidth="1"/>
    <col min="10" max="10" width="12.92578125" style="15" customWidth="1"/>
    <col min="11" max="16384" width="8.640625" style="15"/>
  </cols>
  <sheetData>
    <row r="1" spans="1:10" ht="31.5" customHeight="1">
      <c r="A1" s="165" t="s">
        <v>46</v>
      </c>
      <c r="B1" s="166"/>
      <c r="C1" s="166"/>
      <c r="D1" s="166"/>
      <c r="E1" s="166"/>
      <c r="F1" s="166"/>
      <c r="G1" s="166"/>
      <c r="H1" s="166"/>
      <c r="I1" s="166"/>
      <c r="J1" s="166"/>
    </row>
    <row r="2" spans="1:10" s="36" customFormat="1" ht="22.5" customHeight="1">
      <c r="A2" s="167" t="s">
        <v>35</v>
      </c>
      <c r="B2" s="168"/>
      <c r="C2" s="168"/>
      <c r="D2" s="168"/>
      <c r="E2" s="168"/>
      <c r="F2" s="168"/>
      <c r="G2" s="168"/>
      <c r="H2" s="168"/>
      <c r="I2" s="168"/>
      <c r="J2" s="168"/>
    </row>
    <row r="3" spans="1:10" s="35" customFormat="1" ht="27.75" customHeight="1" thickBot="1">
      <c r="A3" s="169" t="s">
        <v>34</v>
      </c>
      <c r="B3" s="168"/>
      <c r="C3" s="168"/>
      <c r="D3" s="168"/>
      <c r="E3" s="168"/>
      <c r="F3" s="168"/>
      <c r="G3" s="168"/>
      <c r="H3" s="168"/>
      <c r="I3" s="168"/>
      <c r="J3" s="168"/>
    </row>
    <row r="4" spans="1:10" s="31" customFormat="1" ht="22.5" customHeight="1">
      <c r="A4" s="55" t="s">
        <v>33</v>
      </c>
      <c r="B4" s="54" t="s">
        <v>45</v>
      </c>
      <c r="C4" s="54" t="s">
        <v>44</v>
      </c>
      <c r="D4" s="54" t="s">
        <v>43</v>
      </c>
      <c r="E4" s="53" t="s">
        <v>42</v>
      </c>
      <c r="F4" s="55" t="s">
        <v>33</v>
      </c>
      <c r="G4" s="54" t="s">
        <v>32</v>
      </c>
      <c r="H4" s="54" t="s">
        <v>44</v>
      </c>
      <c r="I4" s="54" t="s">
        <v>43</v>
      </c>
      <c r="J4" s="53" t="s">
        <v>42</v>
      </c>
    </row>
    <row r="5" spans="1:10" s="16" customFormat="1" ht="22.5" customHeight="1">
      <c r="A5" s="51">
        <v>387</v>
      </c>
      <c r="B5" s="52" t="s">
        <v>24</v>
      </c>
      <c r="C5" s="50">
        <v>12</v>
      </c>
      <c r="D5" s="50"/>
      <c r="E5" s="49">
        <f t="shared" ref="E5:E29" si="0">D5*C5</f>
        <v>0</v>
      </c>
      <c r="F5" s="51">
        <v>32</v>
      </c>
      <c r="G5" s="45" t="s">
        <v>22</v>
      </c>
      <c r="H5" s="50">
        <v>1</v>
      </c>
      <c r="I5" s="50"/>
      <c r="J5" s="49">
        <f t="shared" ref="J5:J29" si="1">H5*I5</f>
        <v>0</v>
      </c>
    </row>
    <row r="6" spans="1:10" s="16" customFormat="1" ht="22.5" customHeight="1">
      <c r="A6" s="51">
        <v>304</v>
      </c>
      <c r="B6" s="52" t="s">
        <v>24</v>
      </c>
      <c r="C6" s="50">
        <v>10</v>
      </c>
      <c r="D6" s="50"/>
      <c r="E6" s="49">
        <f t="shared" si="0"/>
        <v>0</v>
      </c>
      <c r="F6" s="51">
        <v>316</v>
      </c>
      <c r="G6" s="45" t="s">
        <v>22</v>
      </c>
      <c r="H6" s="50">
        <v>2</v>
      </c>
      <c r="I6" s="50"/>
      <c r="J6" s="49">
        <f t="shared" si="1"/>
        <v>0</v>
      </c>
    </row>
    <row r="7" spans="1:10" s="16" customFormat="1" ht="22.5" customHeight="1">
      <c r="A7" s="51"/>
      <c r="B7" s="52"/>
      <c r="C7" s="50"/>
      <c r="D7" s="50"/>
      <c r="E7" s="49">
        <f t="shared" si="0"/>
        <v>0</v>
      </c>
      <c r="F7" s="51">
        <v>527</v>
      </c>
      <c r="G7" s="45" t="s">
        <v>22</v>
      </c>
      <c r="H7" s="50">
        <v>2</v>
      </c>
      <c r="I7" s="50"/>
      <c r="J7" s="49">
        <f t="shared" si="1"/>
        <v>0</v>
      </c>
    </row>
    <row r="8" spans="1:10" s="16" customFormat="1" ht="22.5" customHeight="1">
      <c r="A8" s="51"/>
      <c r="B8" s="52"/>
      <c r="C8" s="50"/>
      <c r="D8" s="50"/>
      <c r="E8" s="49">
        <f t="shared" si="0"/>
        <v>0</v>
      </c>
      <c r="F8" s="51">
        <v>25</v>
      </c>
      <c r="G8" s="45" t="s">
        <v>22</v>
      </c>
      <c r="H8" s="50">
        <v>3</v>
      </c>
      <c r="I8" s="50"/>
      <c r="J8" s="49">
        <f t="shared" si="1"/>
        <v>0</v>
      </c>
    </row>
    <row r="9" spans="1:10" s="16" customFormat="1" ht="22.5" customHeight="1">
      <c r="A9" s="51"/>
      <c r="B9" s="52"/>
      <c r="C9" s="50"/>
      <c r="D9" s="50"/>
      <c r="E9" s="49">
        <f t="shared" si="0"/>
        <v>0</v>
      </c>
      <c r="F9" s="51">
        <v>482</v>
      </c>
      <c r="G9" s="45" t="s">
        <v>22</v>
      </c>
      <c r="H9" s="50">
        <v>2</v>
      </c>
      <c r="I9" s="50"/>
      <c r="J9" s="49">
        <f t="shared" si="1"/>
        <v>0</v>
      </c>
    </row>
    <row r="10" spans="1:10" s="16" customFormat="1" ht="22.5" customHeight="1">
      <c r="A10" s="51"/>
      <c r="B10" s="52"/>
      <c r="C10" s="50"/>
      <c r="D10" s="50"/>
      <c r="E10" s="49">
        <f t="shared" si="0"/>
        <v>0</v>
      </c>
      <c r="F10" s="51">
        <v>513</v>
      </c>
      <c r="G10" s="45" t="s">
        <v>22</v>
      </c>
      <c r="H10" s="50">
        <v>2</v>
      </c>
      <c r="I10" s="50"/>
      <c r="J10" s="49">
        <f t="shared" si="1"/>
        <v>0</v>
      </c>
    </row>
    <row r="11" spans="1:10" s="16" customFormat="1" ht="22.5" customHeight="1">
      <c r="A11" s="51">
        <v>387</v>
      </c>
      <c r="B11" s="52" t="s">
        <v>41</v>
      </c>
      <c r="C11" s="50">
        <v>7</v>
      </c>
      <c r="D11" s="50"/>
      <c r="E11" s="49">
        <f t="shared" si="0"/>
        <v>0</v>
      </c>
      <c r="F11" s="51">
        <v>350</v>
      </c>
      <c r="G11" s="45" t="s">
        <v>22</v>
      </c>
      <c r="H11" s="50">
        <v>2</v>
      </c>
      <c r="I11" s="50"/>
      <c r="J11" s="49">
        <f t="shared" si="1"/>
        <v>0</v>
      </c>
    </row>
    <row r="12" spans="1:10" s="16" customFormat="1" ht="22.5" customHeight="1">
      <c r="A12" s="51">
        <v>304</v>
      </c>
      <c r="B12" s="52" t="s">
        <v>41</v>
      </c>
      <c r="C12" s="50">
        <v>1</v>
      </c>
      <c r="D12" s="50"/>
      <c r="E12" s="49">
        <f t="shared" si="0"/>
        <v>0</v>
      </c>
      <c r="F12" s="51">
        <v>435</v>
      </c>
      <c r="G12" s="45" t="s">
        <v>22</v>
      </c>
      <c r="H12" s="50">
        <v>1</v>
      </c>
      <c r="I12" s="50"/>
      <c r="J12" s="49">
        <f t="shared" si="1"/>
        <v>0</v>
      </c>
    </row>
    <row r="13" spans="1:10" s="16" customFormat="1" ht="22.5" customHeight="1">
      <c r="A13" s="51"/>
      <c r="B13" s="52"/>
      <c r="C13" s="50"/>
      <c r="D13" s="50"/>
      <c r="E13" s="49">
        <f t="shared" si="0"/>
        <v>0</v>
      </c>
      <c r="F13" s="51">
        <v>491</v>
      </c>
      <c r="G13" s="45" t="s">
        <v>22</v>
      </c>
      <c r="H13" s="50">
        <v>3</v>
      </c>
      <c r="I13" s="50"/>
      <c r="J13" s="49">
        <f t="shared" si="1"/>
        <v>0</v>
      </c>
    </row>
    <row r="14" spans="1:10" s="16" customFormat="1" ht="22.5" customHeight="1">
      <c r="A14" s="51">
        <v>482</v>
      </c>
      <c r="B14" s="52" t="s">
        <v>23</v>
      </c>
      <c r="C14" s="50">
        <v>3</v>
      </c>
      <c r="D14" s="50"/>
      <c r="E14" s="49">
        <f t="shared" si="0"/>
        <v>0</v>
      </c>
      <c r="F14" s="51">
        <v>546</v>
      </c>
      <c r="G14" s="45" t="s">
        <v>22</v>
      </c>
      <c r="H14" s="50">
        <v>1</v>
      </c>
      <c r="I14" s="50"/>
      <c r="J14" s="49">
        <f t="shared" si="1"/>
        <v>0</v>
      </c>
    </row>
    <row r="15" spans="1:10" s="16" customFormat="1" ht="22.5" customHeight="1">
      <c r="A15" s="51">
        <v>456</v>
      </c>
      <c r="B15" s="52" t="s">
        <v>23</v>
      </c>
      <c r="C15" s="50">
        <v>4</v>
      </c>
      <c r="D15" s="50"/>
      <c r="E15" s="49">
        <f t="shared" si="0"/>
        <v>0</v>
      </c>
      <c r="F15" s="51">
        <v>536</v>
      </c>
      <c r="G15" s="45" t="s">
        <v>22</v>
      </c>
      <c r="H15" s="50">
        <v>1</v>
      </c>
      <c r="I15" s="50"/>
      <c r="J15" s="49">
        <f t="shared" si="1"/>
        <v>0</v>
      </c>
    </row>
    <row r="16" spans="1:10" s="16" customFormat="1" ht="22.5" customHeight="1">
      <c r="A16" s="51">
        <v>513</v>
      </c>
      <c r="B16" s="52" t="s">
        <v>23</v>
      </c>
      <c r="C16" s="50">
        <v>1</v>
      </c>
      <c r="D16" s="50"/>
      <c r="E16" s="49">
        <f t="shared" si="0"/>
        <v>0</v>
      </c>
      <c r="F16" s="51"/>
      <c r="G16" s="45"/>
      <c r="H16" s="50"/>
      <c r="I16" s="50"/>
      <c r="J16" s="49">
        <f t="shared" si="1"/>
        <v>0</v>
      </c>
    </row>
    <row r="17" spans="1:10" s="16" customFormat="1" ht="22.5" customHeight="1">
      <c r="A17" s="51">
        <v>350</v>
      </c>
      <c r="B17" s="52" t="s">
        <v>23</v>
      </c>
      <c r="C17" s="50">
        <v>9</v>
      </c>
      <c r="D17" s="50"/>
      <c r="E17" s="49">
        <f t="shared" si="0"/>
        <v>0</v>
      </c>
      <c r="F17" s="51">
        <v>387</v>
      </c>
      <c r="G17" s="45" t="s">
        <v>20</v>
      </c>
      <c r="H17" s="50">
        <v>1</v>
      </c>
      <c r="I17" s="50"/>
      <c r="J17" s="49">
        <f t="shared" si="1"/>
        <v>0</v>
      </c>
    </row>
    <row r="18" spans="1:10" s="16" customFormat="1" ht="22.5" customHeight="1">
      <c r="A18" s="51">
        <v>299</v>
      </c>
      <c r="B18" s="52" t="s">
        <v>23</v>
      </c>
      <c r="C18" s="50">
        <v>1</v>
      </c>
      <c r="D18" s="50"/>
      <c r="E18" s="49">
        <f t="shared" si="0"/>
        <v>0</v>
      </c>
      <c r="F18" s="51">
        <v>32</v>
      </c>
      <c r="G18" s="45" t="s">
        <v>20</v>
      </c>
      <c r="H18" s="50">
        <v>1</v>
      </c>
      <c r="I18" s="50"/>
      <c r="J18" s="49">
        <f t="shared" si="1"/>
        <v>0</v>
      </c>
    </row>
    <row r="19" spans="1:10" s="16" customFormat="1" ht="22.5" customHeight="1">
      <c r="A19" s="51">
        <v>491</v>
      </c>
      <c r="B19" s="52" t="s">
        <v>23</v>
      </c>
      <c r="C19" s="50">
        <v>2</v>
      </c>
      <c r="D19" s="50"/>
      <c r="E19" s="49">
        <f t="shared" si="0"/>
        <v>0</v>
      </c>
      <c r="F19" s="51">
        <v>316</v>
      </c>
      <c r="G19" s="45" t="s">
        <v>20</v>
      </c>
      <c r="H19" s="50">
        <v>1</v>
      </c>
      <c r="I19" s="50"/>
      <c r="J19" s="49">
        <f t="shared" si="1"/>
        <v>0</v>
      </c>
    </row>
    <row r="20" spans="1:10" s="16" customFormat="1" ht="22.5" customHeight="1">
      <c r="A20" s="51"/>
      <c r="B20" s="52"/>
      <c r="C20" s="50"/>
      <c r="D20" s="50"/>
      <c r="E20" s="49">
        <f t="shared" si="0"/>
        <v>0</v>
      </c>
      <c r="F20" s="51">
        <v>527</v>
      </c>
      <c r="G20" s="45" t="s">
        <v>20</v>
      </c>
      <c r="H20" s="50">
        <v>5</v>
      </c>
      <c r="I20" s="50"/>
      <c r="J20" s="49">
        <f t="shared" si="1"/>
        <v>0</v>
      </c>
    </row>
    <row r="21" spans="1:10" s="16" customFormat="1" ht="22.5" customHeight="1">
      <c r="A21" s="51"/>
      <c r="B21" s="52"/>
      <c r="C21" s="50"/>
      <c r="D21" s="50"/>
      <c r="E21" s="49">
        <f t="shared" si="0"/>
        <v>0</v>
      </c>
      <c r="F21" s="51">
        <v>25</v>
      </c>
      <c r="G21" s="45" t="s">
        <v>20</v>
      </c>
      <c r="H21" s="50">
        <v>2</v>
      </c>
      <c r="I21" s="50"/>
      <c r="J21" s="49">
        <f t="shared" si="1"/>
        <v>0</v>
      </c>
    </row>
    <row r="22" spans="1:10" s="16" customFormat="1" ht="22.5" customHeight="1">
      <c r="A22" s="51"/>
      <c r="B22" s="52"/>
      <c r="C22" s="50"/>
      <c r="D22" s="50"/>
      <c r="E22" s="49">
        <f t="shared" si="0"/>
        <v>0</v>
      </c>
      <c r="F22" s="51">
        <v>482</v>
      </c>
      <c r="G22" s="45" t="s">
        <v>20</v>
      </c>
      <c r="H22" s="50">
        <v>3</v>
      </c>
      <c r="I22" s="50"/>
      <c r="J22" s="49">
        <f t="shared" si="1"/>
        <v>0</v>
      </c>
    </row>
    <row r="23" spans="1:10" s="16" customFormat="1" ht="22.5" customHeight="1">
      <c r="A23" s="51"/>
      <c r="B23" s="52"/>
      <c r="C23" s="50"/>
      <c r="D23" s="50"/>
      <c r="E23" s="49">
        <f t="shared" si="0"/>
        <v>0</v>
      </c>
      <c r="F23" s="51">
        <v>456</v>
      </c>
      <c r="G23" s="45" t="s">
        <v>20</v>
      </c>
      <c r="H23" s="50">
        <v>3</v>
      </c>
      <c r="I23" s="50"/>
      <c r="J23" s="49">
        <f t="shared" si="1"/>
        <v>0</v>
      </c>
    </row>
    <row r="24" spans="1:10" s="16" customFormat="1" ht="22.5" customHeight="1">
      <c r="A24" s="51"/>
      <c r="B24" s="52"/>
      <c r="C24" s="50"/>
      <c r="D24" s="50"/>
      <c r="E24" s="49">
        <f t="shared" si="0"/>
        <v>0</v>
      </c>
      <c r="F24" s="51">
        <v>513</v>
      </c>
      <c r="G24" s="45" t="s">
        <v>20</v>
      </c>
      <c r="H24" s="50">
        <v>4</v>
      </c>
      <c r="I24" s="50"/>
      <c r="J24" s="49">
        <f t="shared" si="1"/>
        <v>0</v>
      </c>
    </row>
    <row r="25" spans="1:10" s="16" customFormat="1" ht="22.5" customHeight="1">
      <c r="A25" s="51"/>
      <c r="B25" s="45"/>
      <c r="C25" s="50"/>
      <c r="D25" s="50"/>
      <c r="E25" s="49">
        <f t="shared" si="0"/>
        <v>0</v>
      </c>
      <c r="F25" s="51"/>
      <c r="G25" s="45"/>
      <c r="H25" s="50"/>
      <c r="I25" s="50"/>
      <c r="J25" s="49">
        <f t="shared" si="1"/>
        <v>0</v>
      </c>
    </row>
    <row r="26" spans="1:10" s="16" customFormat="1" ht="22.5" customHeight="1">
      <c r="A26" s="51"/>
      <c r="B26" s="45"/>
      <c r="C26" s="50"/>
      <c r="D26" s="50"/>
      <c r="E26" s="49">
        <f t="shared" si="0"/>
        <v>0</v>
      </c>
      <c r="F26" s="51"/>
      <c r="G26" s="45"/>
      <c r="H26" s="50"/>
      <c r="I26" s="50"/>
      <c r="J26" s="49">
        <f t="shared" si="1"/>
        <v>0</v>
      </c>
    </row>
    <row r="27" spans="1:10" s="16" customFormat="1" ht="22.5" customHeight="1">
      <c r="A27" s="51"/>
      <c r="B27" s="45"/>
      <c r="C27" s="50"/>
      <c r="D27" s="50"/>
      <c r="E27" s="49">
        <f t="shared" si="0"/>
        <v>0</v>
      </c>
      <c r="F27" s="51"/>
      <c r="G27" s="45"/>
      <c r="H27" s="50"/>
      <c r="I27" s="50"/>
      <c r="J27" s="49">
        <f t="shared" si="1"/>
        <v>0</v>
      </c>
    </row>
    <row r="28" spans="1:10" s="16" customFormat="1" ht="22.5" customHeight="1">
      <c r="A28" s="51"/>
      <c r="B28" s="45"/>
      <c r="C28" s="50"/>
      <c r="D28" s="50"/>
      <c r="E28" s="49">
        <f t="shared" si="0"/>
        <v>0</v>
      </c>
      <c r="F28" s="51"/>
      <c r="G28" s="45"/>
      <c r="H28" s="50"/>
      <c r="I28" s="50"/>
      <c r="J28" s="49">
        <f t="shared" si="1"/>
        <v>0</v>
      </c>
    </row>
    <row r="29" spans="1:10" s="16" customFormat="1" ht="22.5" customHeight="1">
      <c r="A29" s="51"/>
      <c r="B29" s="45"/>
      <c r="C29" s="50"/>
      <c r="D29" s="50"/>
      <c r="E29" s="49">
        <f t="shared" si="0"/>
        <v>0</v>
      </c>
      <c r="F29" s="51"/>
      <c r="G29" s="45"/>
      <c r="H29" s="50"/>
      <c r="I29" s="50"/>
      <c r="J29" s="49">
        <f t="shared" si="1"/>
        <v>0</v>
      </c>
    </row>
    <row r="30" spans="1:10" ht="22.5" customHeight="1">
      <c r="A30" s="46" t="s">
        <v>40</v>
      </c>
      <c r="B30" s="48"/>
      <c r="C30" s="44">
        <f>SUM(C5:C29)</f>
        <v>50</v>
      </c>
      <c r="D30" s="47"/>
      <c r="E30" s="42">
        <f>SUM(E7:E29)</f>
        <v>0</v>
      </c>
      <c r="F30" s="46" t="s">
        <v>39</v>
      </c>
      <c r="G30" s="45"/>
      <c r="H30" s="44">
        <f>SUM(H5:H29)</f>
        <v>40</v>
      </c>
      <c r="I30" s="43"/>
      <c r="J30" s="42">
        <f>SUM(J7:J29)</f>
        <v>0</v>
      </c>
    </row>
    <row r="31" spans="1:10" ht="22.5" customHeight="1" thickBot="1">
      <c r="A31" s="41" t="s">
        <v>38</v>
      </c>
      <c r="B31" s="40"/>
      <c r="C31" s="39">
        <f>(C30+H30)</f>
        <v>90</v>
      </c>
      <c r="D31" s="38"/>
      <c r="E31" s="37">
        <f>(E30+J30)</f>
        <v>0</v>
      </c>
      <c r="F31" s="170" t="s">
        <v>37</v>
      </c>
      <c r="G31" s="171"/>
      <c r="H31" s="172"/>
      <c r="I31" s="173"/>
      <c r="J31" s="174"/>
    </row>
  </sheetData>
  <mergeCells count="5">
    <mergeCell ref="A1:J1"/>
    <mergeCell ref="A2:J2"/>
    <mergeCell ref="A3:J3"/>
    <mergeCell ref="F31:G31"/>
    <mergeCell ref="H31:J31"/>
  </mergeCells>
  <phoneticPr fontId="2" type="noConversion"/>
  <pageMargins left="0.25" right="0.25" top="0.75" bottom="0.75" header="0.3" footer="0.3"/>
  <pageSetup paperSize="9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D44E4-41FB-48A8-A7DE-89C8237FC419}">
  <dimension ref="A1:O31"/>
  <sheetViews>
    <sheetView topLeftCell="A4" zoomScale="110" zoomScaleNormal="110" zoomScaleSheetLayoutView="110" workbookViewId="0">
      <pane ySplit="1260" activePane="bottomLeft"/>
      <selection activeCell="S61" sqref="S61"/>
      <selection pane="bottomLeft" activeCell="Q24" sqref="Q24"/>
    </sheetView>
  </sheetViews>
  <sheetFormatPr defaultRowHeight="17.600000000000001"/>
  <cols>
    <col min="1" max="15" width="6" customWidth="1"/>
  </cols>
  <sheetData>
    <row r="1" spans="1:15" ht="37.5" customHeight="1">
      <c r="A1" s="178" t="s">
        <v>86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80"/>
    </row>
    <row r="2" spans="1:15" ht="19.5" customHeight="1">
      <c r="A2" s="181" t="s">
        <v>85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3"/>
    </row>
    <row r="3" spans="1:15" ht="19.5" customHeight="1">
      <c r="A3" s="184" t="s">
        <v>84</v>
      </c>
      <c r="B3" s="185"/>
      <c r="C3" s="185"/>
      <c r="D3" s="185"/>
      <c r="E3" s="185"/>
      <c r="F3" s="185"/>
      <c r="G3" s="185"/>
      <c r="H3" s="185"/>
      <c r="I3" s="185"/>
      <c r="J3" s="185"/>
      <c r="K3" s="185"/>
      <c r="L3" s="185"/>
      <c r="M3" s="185"/>
      <c r="N3" s="185"/>
      <c r="O3" s="186"/>
    </row>
    <row r="4" spans="1:15" ht="19.5" customHeight="1">
      <c r="A4" s="187" t="s">
        <v>83</v>
      </c>
      <c r="B4" s="81" t="s">
        <v>82</v>
      </c>
      <c r="C4" s="81" t="s">
        <v>81</v>
      </c>
      <c r="D4" s="81" t="s">
        <v>80</v>
      </c>
      <c r="E4" s="81" t="s">
        <v>51</v>
      </c>
      <c r="F4" s="81" t="s">
        <v>79</v>
      </c>
      <c r="G4" s="81" t="s">
        <v>78</v>
      </c>
      <c r="H4" s="81" t="s">
        <v>77</v>
      </c>
      <c r="I4" s="81" t="s">
        <v>76</v>
      </c>
      <c r="J4" s="80" t="s">
        <v>75</v>
      </c>
      <c r="K4" s="81" t="s">
        <v>74</v>
      </c>
      <c r="L4" s="80" t="s">
        <v>73</v>
      </c>
      <c r="M4" s="81" t="s">
        <v>72</v>
      </c>
      <c r="N4" s="80" t="s">
        <v>71</v>
      </c>
      <c r="O4" s="79" t="s">
        <v>70</v>
      </c>
    </row>
    <row r="5" spans="1:15" ht="19.5" customHeight="1">
      <c r="A5" s="187"/>
      <c r="B5" s="78">
        <f t="shared" ref="B5:O5" si="0">SUM(B7:B26)</f>
        <v>171</v>
      </c>
      <c r="C5" s="78">
        <f t="shared" si="0"/>
        <v>129</v>
      </c>
      <c r="D5" s="78">
        <f t="shared" si="0"/>
        <v>69</v>
      </c>
      <c r="E5" s="78">
        <f t="shared" si="0"/>
        <v>43</v>
      </c>
      <c r="F5" s="78">
        <f t="shared" si="0"/>
        <v>27</v>
      </c>
      <c r="G5" s="78">
        <f t="shared" si="0"/>
        <v>6</v>
      </c>
      <c r="H5" s="78">
        <f t="shared" si="0"/>
        <v>2</v>
      </c>
      <c r="I5" s="78">
        <f t="shared" si="0"/>
        <v>0</v>
      </c>
      <c r="J5" s="78">
        <f t="shared" si="0"/>
        <v>0</v>
      </c>
      <c r="K5" s="78">
        <f t="shared" si="0"/>
        <v>30</v>
      </c>
      <c r="L5" s="78">
        <f t="shared" si="0"/>
        <v>0</v>
      </c>
      <c r="M5" s="78">
        <f t="shared" si="0"/>
        <v>37</v>
      </c>
      <c r="N5" s="78">
        <f t="shared" si="0"/>
        <v>14</v>
      </c>
      <c r="O5" s="78">
        <f t="shared" si="0"/>
        <v>528</v>
      </c>
    </row>
    <row r="6" spans="1:15" ht="19.5" customHeight="1">
      <c r="A6" s="77" t="s">
        <v>69</v>
      </c>
      <c r="B6" s="76">
        <f>B5/O5</f>
        <v>0.32386363636363635</v>
      </c>
      <c r="C6" s="76">
        <f>C5/O5</f>
        <v>0.24431818181818182</v>
      </c>
      <c r="D6" s="76">
        <f>D5/O5</f>
        <v>0.13068181818181818</v>
      </c>
      <c r="E6" s="76">
        <f>E5/O5</f>
        <v>8.1439393939393936E-2</v>
      </c>
      <c r="F6" s="76">
        <f>F5/O5</f>
        <v>5.113636363636364E-2</v>
      </c>
      <c r="G6" s="76">
        <f>G5/O5</f>
        <v>1.1363636363636364E-2</v>
      </c>
      <c r="H6" s="76">
        <f>H5/O5</f>
        <v>3.787878787878788E-3</v>
      </c>
      <c r="I6" s="76">
        <f>I5/O5</f>
        <v>0</v>
      </c>
      <c r="J6" s="76">
        <f>J5/O5</f>
        <v>0</v>
      </c>
      <c r="K6" s="76">
        <f>K5/O5</f>
        <v>5.6818181818181816E-2</v>
      </c>
      <c r="L6" s="76">
        <f>L5/O5</f>
        <v>0</v>
      </c>
      <c r="M6" s="76">
        <f>M5/O5</f>
        <v>7.0075757575757569E-2</v>
      </c>
      <c r="N6" s="76">
        <f>N5/O5</f>
        <v>2.6515151515151516E-2</v>
      </c>
      <c r="O6" s="75">
        <f t="shared" ref="O6:O26" si="1">SUM(B6:N6)</f>
        <v>0.99999999999999978</v>
      </c>
    </row>
    <row r="7" spans="1:15" ht="19.5" customHeight="1">
      <c r="A7" s="74">
        <v>11</v>
      </c>
      <c r="B7" s="73">
        <v>7</v>
      </c>
      <c r="C7" s="73">
        <v>6</v>
      </c>
      <c r="D7" s="73">
        <v>3</v>
      </c>
      <c r="E7" s="73">
        <v>1</v>
      </c>
      <c r="F7" s="73">
        <v>1</v>
      </c>
      <c r="G7" s="73"/>
      <c r="H7" s="73"/>
      <c r="I7" s="73"/>
      <c r="J7" s="73"/>
      <c r="K7" s="73"/>
      <c r="L7" s="73"/>
      <c r="M7" s="73">
        <v>1</v>
      </c>
      <c r="N7" s="73"/>
      <c r="O7" s="72">
        <f t="shared" si="1"/>
        <v>19</v>
      </c>
    </row>
    <row r="8" spans="1:15" ht="19.5" customHeight="1">
      <c r="A8" s="74">
        <v>25</v>
      </c>
      <c r="B8" s="73">
        <v>11</v>
      </c>
      <c r="C8" s="73">
        <v>8</v>
      </c>
      <c r="D8" s="73">
        <v>4</v>
      </c>
      <c r="E8" s="73">
        <v>1</v>
      </c>
      <c r="F8" s="73">
        <v>1</v>
      </c>
      <c r="G8" s="73"/>
      <c r="H8" s="73"/>
      <c r="I8" s="73"/>
      <c r="J8" s="73"/>
      <c r="K8" s="73">
        <v>3</v>
      </c>
      <c r="L8" s="73"/>
      <c r="M8" s="73">
        <v>2</v>
      </c>
      <c r="N8" s="73">
        <v>2</v>
      </c>
      <c r="O8" s="72">
        <f t="shared" si="1"/>
        <v>32</v>
      </c>
    </row>
    <row r="9" spans="1:15" ht="19.5" customHeight="1">
      <c r="A9" s="74">
        <v>32</v>
      </c>
      <c r="B9" s="73">
        <v>1</v>
      </c>
      <c r="C9" s="73">
        <v>1</v>
      </c>
      <c r="D9" s="73"/>
      <c r="E9" s="73"/>
      <c r="F9" s="73"/>
      <c r="G9" s="73"/>
      <c r="H9" s="73"/>
      <c r="I9" s="73"/>
      <c r="J9" s="73"/>
      <c r="K9" s="73">
        <v>1</v>
      </c>
      <c r="L9" s="73"/>
      <c r="M9" s="73">
        <v>1</v>
      </c>
      <c r="N9" s="73"/>
      <c r="O9" s="72">
        <f t="shared" si="1"/>
        <v>4</v>
      </c>
    </row>
    <row r="10" spans="1:15" ht="19.5" customHeight="1">
      <c r="A10" s="74">
        <v>299</v>
      </c>
      <c r="B10" s="73">
        <v>2</v>
      </c>
      <c r="C10" s="73">
        <v>1</v>
      </c>
      <c r="D10" s="73">
        <v>1</v>
      </c>
      <c r="E10" s="73">
        <v>1</v>
      </c>
      <c r="F10" s="73"/>
      <c r="G10" s="73"/>
      <c r="H10" s="73"/>
      <c r="I10" s="73"/>
      <c r="J10" s="73"/>
      <c r="K10" s="73"/>
      <c r="L10" s="73"/>
      <c r="M10" s="73">
        <v>2</v>
      </c>
      <c r="N10" s="73"/>
      <c r="O10" s="72">
        <f t="shared" si="1"/>
        <v>7</v>
      </c>
    </row>
    <row r="11" spans="1:15" ht="19.5" customHeight="1">
      <c r="A11" s="74">
        <v>304</v>
      </c>
      <c r="B11" s="73">
        <v>10</v>
      </c>
      <c r="C11" s="73">
        <v>1</v>
      </c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2">
        <f t="shared" si="1"/>
        <v>11</v>
      </c>
    </row>
    <row r="12" spans="1:15" ht="19.5" customHeight="1">
      <c r="A12" s="74">
        <v>316</v>
      </c>
      <c r="B12" s="73">
        <v>4</v>
      </c>
      <c r="C12" s="73">
        <v>3</v>
      </c>
      <c r="D12" s="73">
        <v>2</v>
      </c>
      <c r="E12" s="73">
        <v>2</v>
      </c>
      <c r="F12" s="73"/>
      <c r="G12" s="73"/>
      <c r="H12" s="73"/>
      <c r="I12" s="73"/>
      <c r="J12" s="73"/>
      <c r="K12" s="73">
        <v>2</v>
      </c>
      <c r="L12" s="73"/>
      <c r="M12" s="73">
        <v>1</v>
      </c>
      <c r="N12" s="73">
        <v>2</v>
      </c>
      <c r="O12" s="72">
        <f t="shared" si="1"/>
        <v>16</v>
      </c>
    </row>
    <row r="13" spans="1:15" ht="19.5" customHeight="1">
      <c r="A13" s="74">
        <v>350</v>
      </c>
      <c r="B13" s="73">
        <v>10</v>
      </c>
      <c r="C13" s="73">
        <v>14</v>
      </c>
      <c r="D13" s="73">
        <v>10</v>
      </c>
      <c r="E13" s="73">
        <v>6</v>
      </c>
      <c r="F13" s="73">
        <v>4</v>
      </c>
      <c r="G13" s="73">
        <v>1</v>
      </c>
      <c r="H13" s="73"/>
      <c r="I13" s="73"/>
      <c r="J13" s="73"/>
      <c r="K13" s="73">
        <v>2</v>
      </c>
      <c r="L13" s="73"/>
      <c r="M13" s="73">
        <v>2</v>
      </c>
      <c r="N13" s="73"/>
      <c r="O13" s="72">
        <f t="shared" si="1"/>
        <v>49</v>
      </c>
    </row>
    <row r="14" spans="1:15" ht="19.5" customHeight="1">
      <c r="A14" s="74">
        <v>387</v>
      </c>
      <c r="B14" s="73">
        <v>12</v>
      </c>
      <c r="C14" s="73">
        <v>7</v>
      </c>
      <c r="D14" s="73">
        <v>2</v>
      </c>
      <c r="E14" s="73">
        <v>2</v>
      </c>
      <c r="F14" s="73"/>
      <c r="G14" s="73"/>
      <c r="H14" s="73"/>
      <c r="I14" s="73"/>
      <c r="J14" s="73"/>
      <c r="K14" s="73">
        <v>1</v>
      </c>
      <c r="L14" s="73"/>
      <c r="M14" s="73">
        <v>2</v>
      </c>
      <c r="N14" s="73"/>
      <c r="O14" s="72">
        <f t="shared" si="1"/>
        <v>26</v>
      </c>
    </row>
    <row r="15" spans="1:15" ht="19.5" customHeight="1">
      <c r="A15" s="74">
        <v>418</v>
      </c>
      <c r="B15" s="73">
        <v>3</v>
      </c>
      <c r="C15" s="73">
        <v>7</v>
      </c>
      <c r="D15" s="73">
        <v>6</v>
      </c>
      <c r="E15" s="73">
        <v>6</v>
      </c>
      <c r="F15" s="73">
        <v>4</v>
      </c>
      <c r="G15" s="73">
        <v>3</v>
      </c>
      <c r="H15" s="73"/>
      <c r="I15" s="73"/>
      <c r="J15" s="73"/>
      <c r="K15" s="73">
        <v>1</v>
      </c>
      <c r="L15" s="73"/>
      <c r="M15" s="73">
        <v>1</v>
      </c>
      <c r="N15" s="73">
        <v>1</v>
      </c>
      <c r="O15" s="72">
        <f t="shared" si="1"/>
        <v>32</v>
      </c>
    </row>
    <row r="16" spans="1:15" ht="19.5" customHeight="1">
      <c r="A16" s="74">
        <v>435</v>
      </c>
      <c r="B16" s="73">
        <v>7</v>
      </c>
      <c r="C16" s="73">
        <v>2</v>
      </c>
      <c r="D16" s="73"/>
      <c r="E16" s="73">
        <v>1</v>
      </c>
      <c r="F16" s="73"/>
      <c r="G16" s="73"/>
      <c r="H16" s="73"/>
      <c r="I16" s="73"/>
      <c r="J16" s="73"/>
      <c r="K16" s="73">
        <v>1</v>
      </c>
      <c r="L16" s="73"/>
      <c r="M16" s="73"/>
      <c r="N16" s="73">
        <v>1</v>
      </c>
      <c r="O16" s="72">
        <f t="shared" si="1"/>
        <v>12</v>
      </c>
    </row>
    <row r="17" spans="1:15" ht="19.5" customHeight="1">
      <c r="A17" s="74">
        <v>456</v>
      </c>
      <c r="B17" s="73">
        <v>25</v>
      </c>
      <c r="C17" s="73">
        <v>13</v>
      </c>
      <c r="D17" s="73">
        <v>4</v>
      </c>
      <c r="E17" s="73">
        <v>1</v>
      </c>
      <c r="F17" s="73">
        <v>1</v>
      </c>
      <c r="G17" s="73"/>
      <c r="H17" s="73"/>
      <c r="I17" s="73"/>
      <c r="J17" s="73"/>
      <c r="K17" s="73">
        <v>3</v>
      </c>
      <c r="L17" s="73"/>
      <c r="M17" s="73">
        <v>3</v>
      </c>
      <c r="N17" s="73"/>
      <c r="O17" s="72">
        <f t="shared" si="1"/>
        <v>50</v>
      </c>
    </row>
    <row r="18" spans="1:15" ht="19.5" customHeight="1">
      <c r="A18" s="74">
        <v>465</v>
      </c>
      <c r="B18" s="73">
        <v>4</v>
      </c>
      <c r="C18" s="73">
        <v>5</v>
      </c>
      <c r="D18" s="73">
        <v>3</v>
      </c>
      <c r="E18" s="73">
        <v>2</v>
      </c>
      <c r="F18" s="73">
        <v>1</v>
      </c>
      <c r="G18" s="73"/>
      <c r="H18" s="73"/>
      <c r="I18" s="73"/>
      <c r="J18" s="73"/>
      <c r="K18" s="73">
        <v>2</v>
      </c>
      <c r="L18" s="73"/>
      <c r="M18" s="73">
        <v>3</v>
      </c>
      <c r="N18" s="73"/>
      <c r="O18" s="72">
        <f t="shared" si="1"/>
        <v>20</v>
      </c>
    </row>
    <row r="19" spans="1:15" ht="19.5" customHeight="1">
      <c r="A19" s="74">
        <v>482</v>
      </c>
      <c r="B19" s="73">
        <v>13</v>
      </c>
      <c r="C19" s="73">
        <v>13</v>
      </c>
      <c r="D19" s="73">
        <v>7</v>
      </c>
      <c r="E19" s="73">
        <v>4</v>
      </c>
      <c r="F19" s="73">
        <v>1</v>
      </c>
      <c r="G19" s="73"/>
      <c r="H19" s="73"/>
      <c r="I19" s="73"/>
      <c r="J19" s="73"/>
      <c r="K19" s="73">
        <v>2</v>
      </c>
      <c r="L19" s="73"/>
      <c r="M19" s="73">
        <v>3</v>
      </c>
      <c r="N19" s="73"/>
      <c r="O19" s="72">
        <f t="shared" si="1"/>
        <v>43</v>
      </c>
    </row>
    <row r="20" spans="1:15" ht="19.5" customHeight="1">
      <c r="A20" s="74">
        <v>491</v>
      </c>
      <c r="B20" s="73">
        <v>14</v>
      </c>
      <c r="C20" s="73">
        <v>9</v>
      </c>
      <c r="D20" s="73">
        <v>4</v>
      </c>
      <c r="E20" s="73">
        <v>2</v>
      </c>
      <c r="F20" s="73">
        <v>2</v>
      </c>
      <c r="G20" s="73"/>
      <c r="H20" s="73"/>
      <c r="I20" s="73"/>
      <c r="J20" s="73"/>
      <c r="K20" s="73">
        <v>3</v>
      </c>
      <c r="L20" s="73"/>
      <c r="M20" s="73">
        <v>1</v>
      </c>
      <c r="N20" s="73">
        <v>2</v>
      </c>
      <c r="O20" s="72">
        <f t="shared" si="1"/>
        <v>37</v>
      </c>
    </row>
    <row r="21" spans="1:15" ht="19.5" customHeight="1">
      <c r="A21" s="74">
        <v>513</v>
      </c>
      <c r="B21" s="73">
        <v>16</v>
      </c>
      <c r="C21" s="73">
        <v>8</v>
      </c>
      <c r="D21" s="73">
        <v>3</v>
      </c>
      <c r="E21" s="73">
        <v>1</v>
      </c>
      <c r="F21" s="73">
        <v>1</v>
      </c>
      <c r="G21" s="73"/>
      <c r="H21" s="73"/>
      <c r="I21" s="73"/>
      <c r="J21" s="73"/>
      <c r="K21" s="73">
        <v>2</v>
      </c>
      <c r="L21" s="73"/>
      <c r="M21" s="73">
        <v>4</v>
      </c>
      <c r="N21" s="73"/>
      <c r="O21" s="72">
        <f t="shared" si="1"/>
        <v>35</v>
      </c>
    </row>
    <row r="22" spans="1:15" ht="19.5" customHeight="1">
      <c r="A22" s="74">
        <v>527</v>
      </c>
      <c r="B22" s="73">
        <v>5</v>
      </c>
      <c r="C22" s="73">
        <v>5</v>
      </c>
      <c r="D22" s="73">
        <v>3</v>
      </c>
      <c r="E22" s="73">
        <v>2</v>
      </c>
      <c r="F22" s="73">
        <v>2</v>
      </c>
      <c r="G22" s="73">
        <v>1</v>
      </c>
      <c r="H22" s="73"/>
      <c r="I22" s="73"/>
      <c r="J22" s="73"/>
      <c r="K22" s="73">
        <v>2</v>
      </c>
      <c r="L22" s="73"/>
      <c r="M22" s="73">
        <v>5</v>
      </c>
      <c r="N22" s="73">
        <v>6</v>
      </c>
      <c r="O22" s="72">
        <f t="shared" si="1"/>
        <v>31</v>
      </c>
    </row>
    <row r="23" spans="1:15" ht="19.5" customHeight="1">
      <c r="A23" s="74">
        <v>534</v>
      </c>
      <c r="B23" s="73">
        <v>8</v>
      </c>
      <c r="C23" s="73">
        <v>4</v>
      </c>
      <c r="D23" s="73">
        <v>1</v>
      </c>
      <c r="E23" s="73">
        <v>1</v>
      </c>
      <c r="F23" s="73">
        <v>1</v>
      </c>
      <c r="G23" s="73"/>
      <c r="H23" s="73"/>
      <c r="I23" s="73"/>
      <c r="J23" s="73"/>
      <c r="K23" s="73">
        <v>1</v>
      </c>
      <c r="L23" s="73"/>
      <c r="M23" s="73"/>
      <c r="N23" s="73"/>
      <c r="O23" s="72">
        <f t="shared" si="1"/>
        <v>16</v>
      </c>
    </row>
    <row r="24" spans="1:15" ht="19.5" customHeight="1">
      <c r="A24" s="74">
        <v>536</v>
      </c>
      <c r="B24" s="73">
        <v>5</v>
      </c>
      <c r="C24" s="73">
        <v>10</v>
      </c>
      <c r="D24" s="73">
        <v>10</v>
      </c>
      <c r="E24" s="73">
        <v>7</v>
      </c>
      <c r="F24" s="73">
        <v>5</v>
      </c>
      <c r="G24" s="73">
        <v>1</v>
      </c>
      <c r="H24" s="73"/>
      <c r="I24" s="73"/>
      <c r="J24" s="73"/>
      <c r="K24" s="73">
        <v>2</v>
      </c>
      <c r="L24" s="73"/>
      <c r="M24" s="73">
        <v>3</v>
      </c>
      <c r="N24" s="73"/>
      <c r="O24" s="72">
        <f t="shared" si="1"/>
        <v>43</v>
      </c>
    </row>
    <row r="25" spans="1:15" ht="19.5" customHeight="1">
      <c r="A25" s="74">
        <v>546</v>
      </c>
      <c r="B25" s="73">
        <v>14</v>
      </c>
      <c r="C25" s="73">
        <v>12</v>
      </c>
      <c r="D25" s="73">
        <v>6</v>
      </c>
      <c r="E25" s="73">
        <v>3</v>
      </c>
      <c r="F25" s="73">
        <v>3</v>
      </c>
      <c r="G25" s="73"/>
      <c r="H25" s="73">
        <v>2</v>
      </c>
      <c r="I25" s="73"/>
      <c r="J25" s="73"/>
      <c r="K25" s="73">
        <v>2</v>
      </c>
      <c r="L25" s="73"/>
      <c r="M25" s="73">
        <v>3</v>
      </c>
      <c r="N25" s="73"/>
      <c r="O25" s="72">
        <f t="shared" si="1"/>
        <v>45</v>
      </c>
    </row>
    <row r="26" spans="1:15" ht="19.5" customHeight="1" thickBot="1">
      <c r="A26" s="74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2">
        <f t="shared" si="1"/>
        <v>0</v>
      </c>
    </row>
    <row r="27" spans="1:15" ht="19.5" customHeight="1" thickBot="1">
      <c r="A27" s="67" t="s">
        <v>68</v>
      </c>
      <c r="B27" s="66">
        <v>402</v>
      </c>
      <c r="C27" s="68" t="s">
        <v>67</v>
      </c>
      <c r="D27" s="71">
        <v>90</v>
      </c>
      <c r="E27" s="70" t="s">
        <v>66</v>
      </c>
      <c r="F27" s="63"/>
      <c r="G27" s="69" t="s">
        <v>65</v>
      </c>
      <c r="H27" s="63"/>
      <c r="I27" s="67" t="s">
        <v>64</v>
      </c>
      <c r="J27" s="63"/>
      <c r="K27" s="68" t="s">
        <v>54</v>
      </c>
      <c r="L27" s="63">
        <v>30</v>
      </c>
      <c r="M27" s="68" t="s">
        <v>63</v>
      </c>
      <c r="N27" s="188">
        <f>B27+D27+F27+H27+J27+L27+B28+D28+F28+H28+J28+L28+N28</f>
        <v>528</v>
      </c>
      <c r="O27" s="189"/>
    </row>
    <row r="28" spans="1:15" ht="19.5" customHeight="1" thickBot="1">
      <c r="A28" s="67" t="s">
        <v>62</v>
      </c>
      <c r="B28" s="66"/>
      <c r="C28" s="65" t="s">
        <v>61</v>
      </c>
      <c r="D28" s="63"/>
      <c r="E28" s="65" t="s">
        <v>60</v>
      </c>
      <c r="F28" s="63"/>
      <c r="G28" s="65" t="s">
        <v>59</v>
      </c>
      <c r="H28" s="63">
        <v>6</v>
      </c>
      <c r="I28" s="65" t="s">
        <v>58</v>
      </c>
      <c r="J28" s="63"/>
      <c r="K28" s="65" t="s">
        <v>57</v>
      </c>
      <c r="L28" s="63"/>
      <c r="M28" s="64" t="s">
        <v>56</v>
      </c>
      <c r="N28" s="63"/>
      <c r="O28" s="62"/>
    </row>
    <row r="29" spans="1:15" ht="19.5" customHeight="1" thickBot="1">
      <c r="A29" s="61" t="s">
        <v>54</v>
      </c>
      <c r="B29" s="190" t="s">
        <v>55</v>
      </c>
      <c r="C29" s="190"/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1"/>
    </row>
    <row r="30" spans="1:15" ht="19.5" customHeight="1" thickBot="1">
      <c r="A30" s="60" t="s">
        <v>54</v>
      </c>
      <c r="B30" s="175" t="s">
        <v>53</v>
      </c>
      <c r="C30" s="176"/>
      <c r="D30" s="176"/>
      <c r="E30" s="176"/>
      <c r="F30" s="176"/>
      <c r="G30" s="176"/>
      <c r="H30" s="176"/>
      <c r="I30" s="176"/>
      <c r="J30" s="176"/>
      <c r="K30" s="176"/>
      <c r="L30" s="176"/>
      <c r="M30" s="177"/>
      <c r="N30" s="59" t="s">
        <v>52</v>
      </c>
      <c r="O30" s="56">
        <f>SUM(J5)/O5</f>
        <v>0</v>
      </c>
    </row>
    <row r="31" spans="1:15" ht="19.5" customHeight="1" thickBot="1">
      <c r="A31" s="58" t="s">
        <v>51</v>
      </c>
      <c r="B31" s="56">
        <f>SUM(B5+C5+D5+E5)/O5</f>
        <v>0.78030303030303028</v>
      </c>
      <c r="C31" s="58" t="s">
        <v>50</v>
      </c>
      <c r="D31" s="56">
        <f>SUM(F5+G5)/O5</f>
        <v>6.25E-2</v>
      </c>
      <c r="E31" s="58" t="s">
        <v>49</v>
      </c>
      <c r="F31" s="56">
        <f>SUM(H5+I5)/O5</f>
        <v>3.787878787878788E-3</v>
      </c>
      <c r="G31" s="58" t="s">
        <v>21</v>
      </c>
      <c r="H31" s="56">
        <f>SUM(K5)/O5</f>
        <v>5.6818181818181816E-2</v>
      </c>
      <c r="I31" s="57" t="s">
        <v>48</v>
      </c>
      <c r="J31" s="56">
        <f>SUM(L5)/O5</f>
        <v>0</v>
      </c>
      <c r="K31" s="56"/>
      <c r="L31" s="57" t="s">
        <v>19</v>
      </c>
      <c r="M31" s="56">
        <f>SUM(M5)/O5</f>
        <v>7.0075757575757569E-2</v>
      </c>
      <c r="N31" s="57" t="s">
        <v>47</v>
      </c>
      <c r="O31" s="56">
        <f>SUM(N5)/O5</f>
        <v>2.6515151515151516E-2</v>
      </c>
    </row>
  </sheetData>
  <mergeCells count="7">
    <mergeCell ref="B30:M30"/>
    <mergeCell ref="A1:O1"/>
    <mergeCell ref="A2:O2"/>
    <mergeCell ref="A3:O3"/>
    <mergeCell ref="A4:A5"/>
    <mergeCell ref="N27:O27"/>
    <mergeCell ref="B29:O29"/>
  </mergeCells>
  <phoneticPr fontId="2" type="noConversion"/>
  <printOptions horizontalCentered="1"/>
  <pageMargins left="0.23622047244094491" right="0.23622047244094491" top="0.35433070866141736" bottom="0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DF85C-034C-43F5-ABD5-71B5670F3FE1}">
  <sheetPr>
    <pageSetUpPr fitToPage="1"/>
  </sheetPr>
  <dimension ref="A1:J32"/>
  <sheetViews>
    <sheetView zoomScale="110" zoomScaleNormal="110" workbookViewId="0">
      <selection activeCell="C15" sqref="C15"/>
    </sheetView>
  </sheetViews>
  <sheetFormatPr defaultColWidth="8.640625" defaultRowHeight="17.25" customHeight="1"/>
  <cols>
    <col min="1" max="1" width="7.7109375" style="15" customWidth="1"/>
    <col min="2" max="3" width="6.35546875" style="15" customWidth="1"/>
    <col min="4" max="4" width="9.35546875" style="15" customWidth="1"/>
    <col min="5" max="5" width="12.92578125" style="15" customWidth="1"/>
    <col min="6" max="6" width="8" style="15" customWidth="1"/>
    <col min="7" max="7" width="6.5703125" style="15" customWidth="1"/>
    <col min="8" max="8" width="6.42578125" style="15" customWidth="1"/>
    <col min="9" max="9" width="9" style="15" customWidth="1"/>
    <col min="10" max="10" width="12.92578125" style="15" customWidth="1"/>
    <col min="11" max="16384" width="8.640625" style="15"/>
  </cols>
  <sheetData>
    <row r="1" spans="1:10" ht="30" customHeight="1">
      <c r="A1" s="165" t="s">
        <v>88</v>
      </c>
      <c r="B1" s="166"/>
      <c r="C1" s="166"/>
      <c r="D1" s="166"/>
      <c r="E1" s="166"/>
      <c r="F1" s="166"/>
      <c r="G1" s="166"/>
      <c r="H1" s="166"/>
      <c r="I1" s="166"/>
      <c r="J1" s="166"/>
    </row>
    <row r="2" spans="1:10" s="36" customFormat="1" ht="24.75" customHeight="1">
      <c r="A2" s="167" t="s">
        <v>35</v>
      </c>
      <c r="B2" s="168"/>
      <c r="C2" s="168"/>
      <c r="D2" s="168"/>
      <c r="E2" s="168"/>
      <c r="F2" s="168"/>
      <c r="G2" s="168"/>
      <c r="H2" s="168"/>
      <c r="I2" s="168"/>
      <c r="J2" s="168"/>
    </row>
    <row r="3" spans="1:10" s="35" customFormat="1" ht="22.5" customHeight="1" thickBot="1">
      <c r="A3" s="169" t="s">
        <v>34</v>
      </c>
      <c r="B3" s="168"/>
      <c r="C3" s="168"/>
      <c r="D3" s="168"/>
      <c r="E3" s="168"/>
      <c r="F3" s="168"/>
      <c r="G3" s="168"/>
      <c r="H3" s="168"/>
      <c r="I3" s="168"/>
      <c r="J3" s="168"/>
    </row>
    <row r="4" spans="1:10" s="31" customFormat="1" ht="22.5" customHeight="1">
      <c r="A4" s="55" t="s">
        <v>33</v>
      </c>
      <c r="B4" s="54" t="s">
        <v>45</v>
      </c>
      <c r="C4" s="54" t="s">
        <v>44</v>
      </c>
      <c r="D4" s="54" t="s">
        <v>43</v>
      </c>
      <c r="E4" s="53" t="s">
        <v>42</v>
      </c>
      <c r="F4" s="55" t="s">
        <v>33</v>
      </c>
      <c r="G4" s="54" t="s">
        <v>32</v>
      </c>
      <c r="H4" s="54" t="s">
        <v>44</v>
      </c>
      <c r="I4" s="54" t="s">
        <v>43</v>
      </c>
      <c r="J4" s="53" t="s">
        <v>42</v>
      </c>
    </row>
    <row r="5" spans="1:10" s="16" customFormat="1" ht="22.5" customHeight="1">
      <c r="A5" s="51">
        <v>387</v>
      </c>
      <c r="B5" s="52" t="s">
        <v>87</v>
      </c>
      <c r="C5" s="50">
        <v>2</v>
      </c>
      <c r="D5" s="50"/>
      <c r="E5" s="49">
        <f t="shared" ref="E5:E30" si="0">D5*C5</f>
        <v>0</v>
      </c>
      <c r="F5" s="51"/>
      <c r="G5" s="52"/>
      <c r="H5" s="50"/>
      <c r="I5" s="50"/>
      <c r="J5" s="49">
        <f t="shared" ref="J5:J30" si="1">H5*I5</f>
        <v>0</v>
      </c>
    </row>
    <row r="6" spans="1:10" s="16" customFormat="1" ht="22.5" customHeight="1">
      <c r="A6" s="51">
        <v>316</v>
      </c>
      <c r="B6" s="52" t="s">
        <v>87</v>
      </c>
      <c r="C6" s="50">
        <v>2</v>
      </c>
      <c r="D6" s="50"/>
      <c r="E6" s="49">
        <f t="shared" si="0"/>
        <v>0</v>
      </c>
      <c r="F6" s="51"/>
      <c r="G6" s="52"/>
      <c r="H6" s="50"/>
      <c r="I6" s="50"/>
      <c r="J6" s="49">
        <f t="shared" si="1"/>
        <v>0</v>
      </c>
    </row>
    <row r="7" spans="1:10" s="16" customFormat="1" ht="22.5" customHeight="1">
      <c r="A7" s="51">
        <v>527</v>
      </c>
      <c r="B7" s="52" t="s">
        <v>87</v>
      </c>
      <c r="C7" s="50">
        <v>2</v>
      </c>
      <c r="D7" s="50"/>
      <c r="E7" s="49">
        <f t="shared" si="0"/>
        <v>0</v>
      </c>
      <c r="F7" s="51"/>
      <c r="G7" s="52"/>
      <c r="H7" s="50"/>
      <c r="I7" s="50"/>
      <c r="J7" s="49">
        <f t="shared" si="1"/>
        <v>0</v>
      </c>
    </row>
    <row r="8" spans="1:10" s="16" customFormat="1" ht="22.5" customHeight="1">
      <c r="A8" s="51"/>
      <c r="B8" s="52"/>
      <c r="C8" s="50"/>
      <c r="D8" s="50"/>
      <c r="E8" s="49">
        <f t="shared" si="0"/>
        <v>0</v>
      </c>
      <c r="F8" s="51"/>
      <c r="G8" s="52"/>
      <c r="H8" s="50"/>
      <c r="I8" s="50"/>
      <c r="J8" s="49">
        <f t="shared" si="1"/>
        <v>0</v>
      </c>
    </row>
    <row r="9" spans="1:10" s="16" customFormat="1" ht="22.5" customHeight="1">
      <c r="A9" s="51"/>
      <c r="B9" s="52"/>
      <c r="C9" s="50"/>
      <c r="D9" s="50"/>
      <c r="E9" s="49">
        <f t="shared" si="0"/>
        <v>0</v>
      </c>
      <c r="F9" s="51"/>
      <c r="G9" s="52"/>
      <c r="H9" s="50"/>
      <c r="I9" s="50"/>
      <c r="J9" s="49">
        <f t="shared" si="1"/>
        <v>0</v>
      </c>
    </row>
    <row r="10" spans="1:10" s="16" customFormat="1" ht="22.5" customHeight="1">
      <c r="A10" s="51"/>
      <c r="B10" s="52"/>
      <c r="C10" s="50"/>
      <c r="D10" s="50"/>
      <c r="E10" s="49">
        <f t="shared" si="0"/>
        <v>0</v>
      </c>
      <c r="F10" s="51"/>
      <c r="G10" s="52"/>
      <c r="H10" s="50"/>
      <c r="I10" s="50"/>
      <c r="J10" s="49">
        <f t="shared" si="1"/>
        <v>0</v>
      </c>
    </row>
    <row r="11" spans="1:10" s="16" customFormat="1" ht="22.5" customHeight="1">
      <c r="A11" s="51"/>
      <c r="B11" s="52"/>
      <c r="C11" s="50"/>
      <c r="D11" s="50"/>
      <c r="E11" s="49">
        <f t="shared" si="0"/>
        <v>0</v>
      </c>
      <c r="F11" s="51"/>
      <c r="G11" s="52"/>
      <c r="H11" s="50"/>
      <c r="I11" s="50"/>
      <c r="J11" s="49">
        <f t="shared" si="1"/>
        <v>0</v>
      </c>
    </row>
    <row r="12" spans="1:10" s="16" customFormat="1" ht="22.5" customHeight="1">
      <c r="A12" s="51"/>
      <c r="B12" s="52"/>
      <c r="C12" s="50"/>
      <c r="D12" s="50"/>
      <c r="E12" s="49">
        <f t="shared" si="0"/>
        <v>0</v>
      </c>
      <c r="F12" s="51"/>
      <c r="G12" s="52"/>
      <c r="H12" s="50"/>
      <c r="I12" s="50"/>
      <c r="J12" s="49">
        <f t="shared" si="1"/>
        <v>0</v>
      </c>
    </row>
    <row r="13" spans="1:10" s="16" customFormat="1" ht="22.5" customHeight="1">
      <c r="A13" s="51"/>
      <c r="B13" s="52"/>
      <c r="C13" s="50"/>
      <c r="D13" s="50"/>
      <c r="E13" s="49">
        <f t="shared" si="0"/>
        <v>0</v>
      </c>
      <c r="F13" s="51"/>
      <c r="G13" s="52"/>
      <c r="H13" s="50"/>
      <c r="I13" s="50"/>
      <c r="J13" s="49">
        <f t="shared" si="1"/>
        <v>0</v>
      </c>
    </row>
    <row r="14" spans="1:10" s="16" customFormat="1" ht="22.5" customHeight="1">
      <c r="A14" s="51"/>
      <c r="B14" s="52"/>
      <c r="C14" s="50"/>
      <c r="D14" s="50"/>
      <c r="E14" s="49">
        <f t="shared" si="0"/>
        <v>0</v>
      </c>
      <c r="F14" s="51"/>
      <c r="G14" s="52"/>
      <c r="H14" s="50"/>
      <c r="I14" s="50"/>
      <c r="J14" s="49">
        <f t="shared" si="1"/>
        <v>0</v>
      </c>
    </row>
    <row r="15" spans="1:10" s="16" customFormat="1" ht="22.5" customHeight="1">
      <c r="A15" s="51"/>
      <c r="B15" s="52"/>
      <c r="C15" s="50"/>
      <c r="D15" s="50"/>
      <c r="E15" s="49">
        <f t="shared" si="0"/>
        <v>0</v>
      </c>
      <c r="F15" s="51"/>
      <c r="G15" s="52"/>
      <c r="H15" s="50"/>
      <c r="I15" s="50"/>
      <c r="J15" s="49">
        <f t="shared" si="1"/>
        <v>0</v>
      </c>
    </row>
    <row r="16" spans="1:10" s="16" customFormat="1" ht="22.5" customHeight="1">
      <c r="A16" s="51"/>
      <c r="B16" s="52"/>
      <c r="C16" s="50"/>
      <c r="D16" s="50"/>
      <c r="E16" s="49">
        <f t="shared" si="0"/>
        <v>0</v>
      </c>
      <c r="F16" s="51"/>
      <c r="G16" s="52"/>
      <c r="H16" s="50"/>
      <c r="I16" s="50"/>
      <c r="J16" s="49">
        <f t="shared" si="1"/>
        <v>0</v>
      </c>
    </row>
    <row r="17" spans="1:10" s="16" customFormat="1" ht="22.5" customHeight="1">
      <c r="A17" s="51"/>
      <c r="B17" s="52"/>
      <c r="C17" s="50"/>
      <c r="D17" s="50"/>
      <c r="E17" s="49">
        <f t="shared" si="0"/>
        <v>0</v>
      </c>
      <c r="F17" s="51"/>
      <c r="G17" s="52"/>
      <c r="H17" s="50"/>
      <c r="I17" s="50"/>
      <c r="J17" s="49">
        <f t="shared" si="1"/>
        <v>0</v>
      </c>
    </row>
    <row r="18" spans="1:10" s="16" customFormat="1" ht="22.5" customHeight="1">
      <c r="A18" s="51"/>
      <c r="B18" s="52"/>
      <c r="C18" s="50"/>
      <c r="D18" s="50"/>
      <c r="E18" s="49">
        <f t="shared" si="0"/>
        <v>0</v>
      </c>
      <c r="F18" s="51"/>
      <c r="G18" s="52"/>
      <c r="H18" s="50"/>
      <c r="I18" s="50"/>
      <c r="J18" s="49">
        <f t="shared" si="1"/>
        <v>0</v>
      </c>
    </row>
    <row r="19" spans="1:10" s="16" customFormat="1" ht="22.5" customHeight="1">
      <c r="A19" s="51"/>
      <c r="B19" s="52"/>
      <c r="C19" s="50"/>
      <c r="D19" s="50"/>
      <c r="E19" s="49">
        <f t="shared" si="0"/>
        <v>0</v>
      </c>
      <c r="F19" s="51"/>
      <c r="G19" s="52"/>
      <c r="H19" s="50"/>
      <c r="I19" s="50"/>
      <c r="J19" s="49">
        <f t="shared" si="1"/>
        <v>0</v>
      </c>
    </row>
    <row r="20" spans="1:10" s="16" customFormat="1" ht="22.5" customHeight="1">
      <c r="A20" s="51"/>
      <c r="B20" s="52"/>
      <c r="C20" s="50"/>
      <c r="D20" s="50"/>
      <c r="E20" s="49">
        <f t="shared" si="0"/>
        <v>0</v>
      </c>
      <c r="F20" s="51"/>
      <c r="G20" s="52"/>
      <c r="H20" s="50"/>
      <c r="I20" s="50"/>
      <c r="J20" s="49">
        <f t="shared" si="1"/>
        <v>0</v>
      </c>
    </row>
    <row r="21" spans="1:10" s="16" customFormat="1" ht="22.5" customHeight="1">
      <c r="A21" s="51"/>
      <c r="B21" s="52"/>
      <c r="C21" s="50"/>
      <c r="D21" s="50"/>
      <c r="E21" s="49">
        <f t="shared" si="0"/>
        <v>0</v>
      </c>
      <c r="F21" s="51"/>
      <c r="G21" s="52"/>
      <c r="H21" s="50"/>
      <c r="I21" s="50"/>
      <c r="J21" s="49">
        <f t="shared" si="1"/>
        <v>0</v>
      </c>
    </row>
    <row r="22" spans="1:10" s="16" customFormat="1" ht="22.5" customHeight="1">
      <c r="A22" s="51"/>
      <c r="B22" s="52"/>
      <c r="C22" s="50"/>
      <c r="D22" s="50"/>
      <c r="E22" s="49">
        <f t="shared" si="0"/>
        <v>0</v>
      </c>
      <c r="F22" s="51"/>
      <c r="G22" s="52"/>
      <c r="H22" s="50"/>
      <c r="I22" s="50"/>
      <c r="J22" s="49">
        <f t="shared" si="1"/>
        <v>0</v>
      </c>
    </row>
    <row r="23" spans="1:10" s="16" customFormat="1" ht="22.5" customHeight="1">
      <c r="A23" s="51"/>
      <c r="B23" s="52"/>
      <c r="C23" s="50"/>
      <c r="D23" s="50"/>
      <c r="E23" s="49">
        <f t="shared" si="0"/>
        <v>0</v>
      </c>
      <c r="F23" s="51"/>
      <c r="G23" s="52"/>
      <c r="H23" s="50"/>
      <c r="I23" s="50"/>
      <c r="J23" s="49">
        <f t="shared" si="1"/>
        <v>0</v>
      </c>
    </row>
    <row r="24" spans="1:10" s="16" customFormat="1" ht="22.5" customHeight="1">
      <c r="A24" s="51"/>
      <c r="B24" s="52"/>
      <c r="C24" s="50"/>
      <c r="D24" s="50"/>
      <c r="E24" s="49">
        <f t="shared" si="0"/>
        <v>0</v>
      </c>
      <c r="F24" s="51"/>
      <c r="G24" s="52"/>
      <c r="H24" s="50"/>
      <c r="I24" s="50"/>
      <c r="J24" s="49">
        <f t="shared" si="1"/>
        <v>0</v>
      </c>
    </row>
    <row r="25" spans="1:10" s="16" customFormat="1" ht="22.5" customHeight="1">
      <c r="A25" s="51"/>
      <c r="B25" s="52"/>
      <c r="C25" s="50"/>
      <c r="D25" s="50"/>
      <c r="E25" s="49">
        <f t="shared" si="0"/>
        <v>0</v>
      </c>
      <c r="F25" s="51"/>
      <c r="G25" s="52"/>
      <c r="H25" s="50"/>
      <c r="I25" s="50"/>
      <c r="J25" s="49">
        <f t="shared" si="1"/>
        <v>0</v>
      </c>
    </row>
    <row r="26" spans="1:10" s="16" customFormat="1" ht="22.5" customHeight="1">
      <c r="A26" s="51"/>
      <c r="B26" s="52"/>
      <c r="C26" s="50"/>
      <c r="D26" s="50"/>
      <c r="E26" s="49">
        <f t="shared" si="0"/>
        <v>0</v>
      </c>
      <c r="F26" s="51"/>
      <c r="G26" s="52"/>
      <c r="H26" s="50"/>
      <c r="I26" s="50"/>
      <c r="J26" s="49">
        <f t="shared" si="1"/>
        <v>0</v>
      </c>
    </row>
    <row r="27" spans="1:10" s="16" customFormat="1" ht="22.5" customHeight="1">
      <c r="A27" s="51"/>
      <c r="B27" s="52"/>
      <c r="C27" s="50"/>
      <c r="D27" s="50"/>
      <c r="E27" s="49">
        <f t="shared" si="0"/>
        <v>0</v>
      </c>
      <c r="F27" s="51"/>
      <c r="G27" s="52"/>
      <c r="H27" s="50"/>
      <c r="I27" s="50"/>
      <c r="J27" s="49">
        <f t="shared" si="1"/>
        <v>0</v>
      </c>
    </row>
    <row r="28" spans="1:10" s="16" customFormat="1" ht="22.5" customHeight="1">
      <c r="A28" s="51"/>
      <c r="B28" s="52"/>
      <c r="C28" s="50"/>
      <c r="D28" s="50"/>
      <c r="E28" s="49">
        <f t="shared" si="0"/>
        <v>0</v>
      </c>
      <c r="F28" s="51"/>
      <c r="G28" s="52"/>
      <c r="H28" s="50"/>
      <c r="I28" s="50"/>
      <c r="J28" s="49">
        <f t="shared" si="1"/>
        <v>0</v>
      </c>
    </row>
    <row r="29" spans="1:10" s="16" customFormat="1" ht="22.5" customHeight="1">
      <c r="A29" s="51"/>
      <c r="B29" s="52"/>
      <c r="C29" s="50"/>
      <c r="D29" s="50"/>
      <c r="E29" s="49">
        <f t="shared" si="0"/>
        <v>0</v>
      </c>
      <c r="F29" s="51"/>
      <c r="G29" s="52"/>
      <c r="H29" s="50"/>
      <c r="I29" s="50"/>
      <c r="J29" s="49">
        <f t="shared" si="1"/>
        <v>0</v>
      </c>
    </row>
    <row r="30" spans="1:10" s="16" customFormat="1" ht="22.5" customHeight="1">
      <c r="A30" s="51"/>
      <c r="B30" s="52"/>
      <c r="C30" s="50"/>
      <c r="D30" s="50"/>
      <c r="E30" s="49">
        <f t="shared" si="0"/>
        <v>0</v>
      </c>
      <c r="F30" s="51"/>
      <c r="G30" s="52"/>
      <c r="H30" s="50"/>
      <c r="I30" s="50"/>
      <c r="J30" s="49">
        <f t="shared" si="1"/>
        <v>0</v>
      </c>
    </row>
    <row r="31" spans="1:10" ht="22.5" customHeight="1">
      <c r="A31" s="46" t="s">
        <v>40</v>
      </c>
      <c r="B31" s="48"/>
      <c r="C31" s="86">
        <f>SUM(C5:C30)</f>
        <v>6</v>
      </c>
      <c r="D31" s="88"/>
      <c r="E31" s="84">
        <f>SUM(E5:E30)</f>
        <v>0</v>
      </c>
      <c r="F31" s="87" t="s">
        <v>39</v>
      </c>
      <c r="G31" s="48"/>
      <c r="H31" s="86">
        <f>SUM(H5:H30)</f>
        <v>0</v>
      </c>
      <c r="I31" s="85"/>
      <c r="J31" s="84">
        <f>SUM(J5:J30)</f>
        <v>0</v>
      </c>
    </row>
    <row r="32" spans="1:10" ht="22.5" customHeight="1" thickBot="1">
      <c r="A32" s="41" t="s">
        <v>38</v>
      </c>
      <c r="B32" s="40"/>
      <c r="C32" s="83">
        <f>(C31+H31)</f>
        <v>6</v>
      </c>
      <c r="D32" s="40"/>
      <c r="E32" s="82">
        <f>(E31+J31)</f>
        <v>0</v>
      </c>
      <c r="F32" s="170" t="s">
        <v>37</v>
      </c>
      <c r="G32" s="171"/>
      <c r="H32" s="172"/>
      <c r="I32" s="173"/>
      <c r="J32" s="174"/>
    </row>
  </sheetData>
  <mergeCells count="5">
    <mergeCell ref="A1:J1"/>
    <mergeCell ref="A2:J2"/>
    <mergeCell ref="A3:J3"/>
    <mergeCell ref="F32:G32"/>
    <mergeCell ref="H32:J32"/>
  </mergeCells>
  <phoneticPr fontId="2" type="noConversion"/>
  <pageMargins left="0.25" right="0.25" top="0.75" bottom="0.75" header="0.3" footer="0.3"/>
  <pageSetup paperSize="9" fitToHeight="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443E0-B24F-4B3C-9A56-BE1248574AD0}">
  <sheetPr>
    <pageSetUpPr fitToPage="1"/>
  </sheetPr>
  <dimension ref="A1:J32"/>
  <sheetViews>
    <sheetView zoomScale="110" zoomScaleNormal="110" workbookViewId="0">
      <selection activeCell="N29" sqref="N29"/>
    </sheetView>
  </sheetViews>
  <sheetFormatPr defaultColWidth="8.640625" defaultRowHeight="17.25" customHeight="1"/>
  <cols>
    <col min="1" max="1" width="7.7109375" style="15" customWidth="1"/>
    <col min="2" max="3" width="6.35546875" style="15" customWidth="1"/>
    <col min="4" max="4" width="9.35546875" style="15" customWidth="1"/>
    <col min="5" max="5" width="12.92578125" style="15" customWidth="1"/>
    <col min="6" max="6" width="8" style="15" customWidth="1"/>
    <col min="7" max="7" width="6.5703125" style="15" customWidth="1"/>
    <col min="8" max="8" width="6.42578125" style="15" customWidth="1"/>
    <col min="9" max="9" width="9" style="15" customWidth="1"/>
    <col min="10" max="10" width="12.92578125" style="15" customWidth="1"/>
    <col min="11" max="16384" width="8.640625" style="15"/>
  </cols>
  <sheetData>
    <row r="1" spans="1:10" ht="30" customHeight="1">
      <c r="A1" s="165" t="s">
        <v>90</v>
      </c>
      <c r="B1" s="166"/>
      <c r="C1" s="166"/>
      <c r="D1" s="166"/>
      <c r="E1" s="166"/>
      <c r="F1" s="166"/>
      <c r="G1" s="166"/>
      <c r="H1" s="166"/>
      <c r="I1" s="166"/>
      <c r="J1" s="166"/>
    </row>
    <row r="2" spans="1:10" s="36" customFormat="1" ht="24.75" customHeight="1">
      <c r="A2" s="167" t="s">
        <v>89</v>
      </c>
      <c r="B2" s="168"/>
      <c r="C2" s="168"/>
      <c r="D2" s="168"/>
      <c r="E2" s="168"/>
      <c r="F2" s="168"/>
      <c r="G2" s="168"/>
      <c r="H2" s="168"/>
      <c r="I2" s="168"/>
      <c r="J2" s="168"/>
    </row>
    <row r="3" spans="1:10" s="35" customFormat="1" ht="22.5" customHeight="1" thickBot="1">
      <c r="A3" s="169" t="s">
        <v>34</v>
      </c>
      <c r="B3" s="168"/>
      <c r="C3" s="168"/>
      <c r="D3" s="168"/>
      <c r="E3" s="168"/>
      <c r="F3" s="168"/>
      <c r="G3" s="168"/>
      <c r="H3" s="168"/>
      <c r="I3" s="168"/>
      <c r="J3" s="168"/>
    </row>
    <row r="4" spans="1:10" s="31" customFormat="1" ht="22.5" customHeight="1">
      <c r="A4" s="55" t="s">
        <v>33</v>
      </c>
      <c r="B4" s="54" t="s">
        <v>45</v>
      </c>
      <c r="C4" s="54" t="s">
        <v>44</v>
      </c>
      <c r="D4" s="54" t="s">
        <v>43</v>
      </c>
      <c r="E4" s="53" t="s">
        <v>42</v>
      </c>
      <c r="F4" s="55" t="s">
        <v>33</v>
      </c>
      <c r="G4" s="54" t="s">
        <v>32</v>
      </c>
      <c r="H4" s="54" t="s">
        <v>44</v>
      </c>
      <c r="I4" s="54" t="s">
        <v>43</v>
      </c>
      <c r="J4" s="53" t="s">
        <v>42</v>
      </c>
    </row>
    <row r="5" spans="1:10" s="16" customFormat="1" ht="22.5" customHeight="1">
      <c r="A5" s="51">
        <v>536</v>
      </c>
      <c r="B5" s="52" t="s">
        <v>23</v>
      </c>
      <c r="C5" s="50">
        <v>9</v>
      </c>
      <c r="D5" s="50"/>
      <c r="E5" s="49">
        <f t="shared" ref="E5:E30" si="0">D5*C5</f>
        <v>0</v>
      </c>
      <c r="F5" s="51">
        <v>482</v>
      </c>
      <c r="G5" s="52" t="s">
        <v>87</v>
      </c>
      <c r="H5" s="50">
        <v>2</v>
      </c>
      <c r="I5" s="50"/>
      <c r="J5" s="49">
        <f t="shared" ref="J5:J30" si="1">H5*I5</f>
        <v>0</v>
      </c>
    </row>
    <row r="6" spans="1:10" s="16" customFormat="1" ht="22.5" customHeight="1">
      <c r="A6" s="51">
        <v>387</v>
      </c>
      <c r="B6" s="52" t="s">
        <v>23</v>
      </c>
      <c r="C6" s="50">
        <v>2</v>
      </c>
      <c r="D6" s="50"/>
      <c r="E6" s="49">
        <f t="shared" si="0"/>
        <v>0</v>
      </c>
      <c r="F6" s="51">
        <v>546</v>
      </c>
      <c r="G6" s="52" t="s">
        <v>87</v>
      </c>
      <c r="H6" s="50">
        <v>4</v>
      </c>
      <c r="I6" s="50"/>
      <c r="J6" s="49">
        <f t="shared" si="1"/>
        <v>0</v>
      </c>
    </row>
    <row r="7" spans="1:10" s="16" customFormat="1" ht="22.5" customHeight="1">
      <c r="A7" s="51">
        <v>299</v>
      </c>
      <c r="B7" s="52" t="s">
        <v>23</v>
      </c>
      <c r="C7" s="50">
        <v>1</v>
      </c>
      <c r="D7" s="50"/>
      <c r="E7" s="49">
        <f t="shared" si="0"/>
        <v>0</v>
      </c>
      <c r="F7" s="51">
        <v>491</v>
      </c>
      <c r="G7" s="52" t="s">
        <v>87</v>
      </c>
      <c r="H7" s="50">
        <v>5</v>
      </c>
      <c r="I7" s="50"/>
      <c r="J7" s="49">
        <f t="shared" si="1"/>
        <v>0</v>
      </c>
    </row>
    <row r="8" spans="1:10" s="16" customFormat="1" ht="22.5" customHeight="1">
      <c r="A8" s="51">
        <v>435</v>
      </c>
      <c r="B8" s="52" t="s">
        <v>23</v>
      </c>
      <c r="C8" s="50">
        <v>2</v>
      </c>
      <c r="D8" s="50"/>
      <c r="E8" s="49">
        <f t="shared" si="0"/>
        <v>0</v>
      </c>
      <c r="F8" s="51">
        <v>513</v>
      </c>
      <c r="G8" s="52" t="s">
        <v>87</v>
      </c>
      <c r="H8" s="50">
        <v>3</v>
      </c>
      <c r="I8" s="50"/>
      <c r="J8" s="49">
        <f t="shared" si="1"/>
        <v>0</v>
      </c>
    </row>
    <row r="9" spans="1:10" s="16" customFormat="1" ht="22.5" customHeight="1">
      <c r="A9" s="51">
        <v>304</v>
      </c>
      <c r="B9" s="52" t="s">
        <v>23</v>
      </c>
      <c r="C9" s="50">
        <v>1</v>
      </c>
      <c r="D9" s="50"/>
      <c r="E9" s="49">
        <f t="shared" si="0"/>
        <v>0</v>
      </c>
      <c r="F9" s="51">
        <v>350</v>
      </c>
      <c r="G9" s="52" t="s">
        <v>87</v>
      </c>
      <c r="H9" s="50">
        <v>9</v>
      </c>
      <c r="I9" s="50"/>
      <c r="J9" s="49">
        <f t="shared" si="1"/>
        <v>0</v>
      </c>
    </row>
    <row r="10" spans="1:10" s="16" customFormat="1" ht="22.5" customHeight="1">
      <c r="A10" s="51">
        <v>32</v>
      </c>
      <c r="B10" s="52" t="s">
        <v>23</v>
      </c>
      <c r="C10" s="50">
        <v>1</v>
      </c>
      <c r="D10" s="50"/>
      <c r="E10" s="49">
        <f t="shared" si="0"/>
        <v>0</v>
      </c>
      <c r="F10" s="51">
        <v>456</v>
      </c>
      <c r="G10" s="52" t="s">
        <v>87</v>
      </c>
      <c r="H10" s="50">
        <v>4</v>
      </c>
      <c r="I10" s="50"/>
      <c r="J10" s="49">
        <f t="shared" si="1"/>
        <v>0</v>
      </c>
    </row>
    <row r="11" spans="1:10" s="16" customFormat="1" ht="22.5" customHeight="1">
      <c r="A11" s="51">
        <v>59</v>
      </c>
      <c r="B11" s="52" t="s">
        <v>23</v>
      </c>
      <c r="C11" s="50">
        <v>2</v>
      </c>
      <c r="D11" s="50"/>
      <c r="E11" s="49">
        <f t="shared" si="0"/>
        <v>0</v>
      </c>
      <c r="F11" s="51">
        <v>534</v>
      </c>
      <c r="G11" s="52" t="s">
        <v>87</v>
      </c>
      <c r="H11" s="50">
        <v>2</v>
      </c>
      <c r="I11" s="50"/>
      <c r="J11" s="49">
        <f t="shared" si="1"/>
        <v>0</v>
      </c>
    </row>
    <row r="12" spans="1:10" s="16" customFormat="1" ht="22.5" customHeight="1">
      <c r="A12" s="51">
        <v>316</v>
      </c>
      <c r="B12" s="52" t="s">
        <v>23</v>
      </c>
      <c r="C12" s="50">
        <v>2</v>
      </c>
      <c r="D12" s="50"/>
      <c r="E12" s="49">
        <f t="shared" si="0"/>
        <v>0</v>
      </c>
      <c r="F12" s="51">
        <v>539</v>
      </c>
      <c r="G12" s="52" t="s">
        <v>87</v>
      </c>
      <c r="H12" s="50">
        <v>3</v>
      </c>
      <c r="I12" s="50"/>
      <c r="J12" s="49">
        <f t="shared" si="1"/>
        <v>0</v>
      </c>
    </row>
    <row r="13" spans="1:10" s="16" customFormat="1" ht="22.5" customHeight="1">
      <c r="A13" s="51">
        <v>527</v>
      </c>
      <c r="B13" s="52" t="s">
        <v>23</v>
      </c>
      <c r="C13" s="50">
        <v>3</v>
      </c>
      <c r="D13" s="50"/>
      <c r="E13" s="49">
        <f t="shared" si="0"/>
        <v>0</v>
      </c>
      <c r="F13" s="51">
        <v>536</v>
      </c>
      <c r="G13" s="52" t="s">
        <v>87</v>
      </c>
      <c r="H13" s="50">
        <v>8</v>
      </c>
      <c r="I13" s="50"/>
      <c r="J13" s="49">
        <f t="shared" si="1"/>
        <v>0</v>
      </c>
    </row>
    <row r="14" spans="1:10" s="16" customFormat="1" ht="22.5" customHeight="1">
      <c r="A14" s="51">
        <v>482</v>
      </c>
      <c r="B14" s="52" t="s">
        <v>23</v>
      </c>
      <c r="C14" s="50">
        <v>3</v>
      </c>
      <c r="D14" s="50"/>
      <c r="E14" s="49">
        <f t="shared" si="0"/>
        <v>0</v>
      </c>
      <c r="F14" s="51">
        <v>25</v>
      </c>
      <c r="G14" s="52" t="s">
        <v>87</v>
      </c>
      <c r="H14" s="50">
        <v>4</v>
      </c>
      <c r="I14" s="50"/>
      <c r="J14" s="49">
        <f t="shared" si="1"/>
        <v>0</v>
      </c>
    </row>
    <row r="15" spans="1:10" s="16" customFormat="1" ht="22.5" customHeight="1">
      <c r="A15" s="51">
        <v>546</v>
      </c>
      <c r="B15" s="52" t="s">
        <v>23</v>
      </c>
      <c r="C15" s="50">
        <v>4</v>
      </c>
      <c r="D15" s="50"/>
      <c r="E15" s="49">
        <f t="shared" si="0"/>
        <v>0</v>
      </c>
      <c r="F15" s="51">
        <v>11</v>
      </c>
      <c r="G15" s="52" t="s">
        <v>87</v>
      </c>
      <c r="H15" s="50">
        <v>2</v>
      </c>
      <c r="I15" s="50"/>
      <c r="J15" s="49">
        <f t="shared" si="1"/>
        <v>0</v>
      </c>
    </row>
    <row r="16" spans="1:10" s="16" customFormat="1" ht="22.5" customHeight="1">
      <c r="A16" s="51">
        <v>491</v>
      </c>
      <c r="B16" s="52" t="s">
        <v>23</v>
      </c>
      <c r="C16" s="50">
        <v>6</v>
      </c>
      <c r="D16" s="50"/>
      <c r="E16" s="49">
        <f t="shared" si="0"/>
        <v>0</v>
      </c>
      <c r="F16" s="51">
        <v>457</v>
      </c>
      <c r="G16" s="52" t="s">
        <v>87</v>
      </c>
      <c r="H16" s="50">
        <v>1</v>
      </c>
      <c r="I16" s="50"/>
      <c r="J16" s="49">
        <f t="shared" si="1"/>
        <v>0</v>
      </c>
    </row>
    <row r="17" spans="1:10" s="16" customFormat="1" ht="22.5" customHeight="1">
      <c r="A17" s="51">
        <v>513</v>
      </c>
      <c r="B17" s="52" t="s">
        <v>23</v>
      </c>
      <c r="C17" s="50">
        <v>4</v>
      </c>
      <c r="D17" s="50"/>
      <c r="E17" s="49">
        <f t="shared" si="0"/>
        <v>0</v>
      </c>
      <c r="F17" s="51">
        <v>525</v>
      </c>
      <c r="G17" s="52" t="s">
        <v>87</v>
      </c>
      <c r="H17" s="50">
        <v>1</v>
      </c>
      <c r="I17" s="50"/>
      <c r="J17" s="49">
        <f t="shared" si="1"/>
        <v>0</v>
      </c>
    </row>
    <row r="18" spans="1:10" s="16" customFormat="1" ht="22.5" customHeight="1">
      <c r="A18" s="51"/>
      <c r="B18" s="52"/>
      <c r="C18" s="50"/>
      <c r="D18" s="50"/>
      <c r="E18" s="49">
        <f t="shared" si="0"/>
        <v>0</v>
      </c>
      <c r="F18" s="51">
        <v>542</v>
      </c>
      <c r="G18" s="52" t="s">
        <v>87</v>
      </c>
      <c r="H18" s="50">
        <v>5</v>
      </c>
      <c r="I18" s="50"/>
      <c r="J18" s="49">
        <f t="shared" si="1"/>
        <v>0</v>
      </c>
    </row>
    <row r="19" spans="1:10" s="16" customFormat="1" ht="22.5" customHeight="1">
      <c r="A19" s="51"/>
      <c r="B19" s="52"/>
      <c r="C19" s="50"/>
      <c r="D19" s="50"/>
      <c r="E19" s="49">
        <f t="shared" si="0"/>
        <v>0</v>
      </c>
      <c r="F19" s="51">
        <v>436</v>
      </c>
      <c r="G19" s="52" t="s">
        <v>87</v>
      </c>
      <c r="H19" s="50">
        <v>6</v>
      </c>
      <c r="I19" s="50"/>
      <c r="J19" s="49">
        <f t="shared" si="1"/>
        <v>0</v>
      </c>
    </row>
    <row r="20" spans="1:10" s="16" customFormat="1" ht="22.5" customHeight="1">
      <c r="A20" s="51"/>
      <c r="B20" s="52"/>
      <c r="C20" s="50"/>
      <c r="D20" s="50"/>
      <c r="E20" s="49">
        <f t="shared" si="0"/>
        <v>0</v>
      </c>
      <c r="F20" s="51">
        <v>325</v>
      </c>
      <c r="G20" s="52" t="s">
        <v>87</v>
      </c>
      <c r="H20" s="50">
        <v>1</v>
      </c>
      <c r="I20" s="50"/>
      <c r="J20" s="49">
        <f t="shared" si="1"/>
        <v>0</v>
      </c>
    </row>
    <row r="21" spans="1:10" s="16" customFormat="1" ht="22.5" customHeight="1">
      <c r="A21" s="51"/>
      <c r="B21" s="52"/>
      <c r="C21" s="50"/>
      <c r="D21" s="50"/>
      <c r="E21" s="49">
        <f t="shared" si="0"/>
        <v>0</v>
      </c>
      <c r="F21" s="51"/>
      <c r="G21" s="52"/>
      <c r="H21" s="50"/>
      <c r="I21" s="50"/>
      <c r="J21" s="49">
        <f t="shared" si="1"/>
        <v>0</v>
      </c>
    </row>
    <row r="22" spans="1:10" s="16" customFormat="1" ht="22.5" customHeight="1">
      <c r="A22" s="51"/>
      <c r="B22" s="52"/>
      <c r="C22" s="50"/>
      <c r="D22" s="50"/>
      <c r="E22" s="49">
        <f t="shared" si="0"/>
        <v>0</v>
      </c>
      <c r="F22" s="51"/>
      <c r="G22" s="52"/>
      <c r="H22" s="50"/>
      <c r="I22" s="50"/>
      <c r="J22" s="49">
        <f t="shared" si="1"/>
        <v>0</v>
      </c>
    </row>
    <row r="23" spans="1:10" s="16" customFormat="1" ht="22.5" customHeight="1">
      <c r="A23" s="51"/>
      <c r="B23" s="52"/>
      <c r="C23" s="50"/>
      <c r="D23" s="50"/>
      <c r="E23" s="49">
        <f t="shared" si="0"/>
        <v>0</v>
      </c>
      <c r="F23" s="51"/>
      <c r="G23" s="52"/>
      <c r="H23" s="50"/>
      <c r="I23" s="50"/>
      <c r="J23" s="49">
        <f t="shared" si="1"/>
        <v>0</v>
      </c>
    </row>
    <row r="24" spans="1:10" s="16" customFormat="1" ht="22.5" customHeight="1">
      <c r="A24" s="51"/>
      <c r="B24" s="52"/>
      <c r="C24" s="50"/>
      <c r="D24" s="50"/>
      <c r="E24" s="49">
        <f t="shared" si="0"/>
        <v>0</v>
      </c>
      <c r="F24" s="51"/>
      <c r="G24" s="52"/>
      <c r="H24" s="50"/>
      <c r="I24" s="50"/>
      <c r="J24" s="49">
        <f t="shared" si="1"/>
        <v>0</v>
      </c>
    </row>
    <row r="25" spans="1:10" s="16" customFormat="1" ht="22.5" customHeight="1">
      <c r="A25" s="51"/>
      <c r="B25" s="52"/>
      <c r="C25" s="50"/>
      <c r="D25" s="50"/>
      <c r="E25" s="49">
        <f t="shared" si="0"/>
        <v>0</v>
      </c>
      <c r="F25" s="51"/>
      <c r="G25" s="52"/>
      <c r="H25" s="50"/>
      <c r="I25" s="50"/>
      <c r="J25" s="49">
        <f t="shared" si="1"/>
        <v>0</v>
      </c>
    </row>
    <row r="26" spans="1:10" s="16" customFormat="1" ht="22.5" customHeight="1">
      <c r="A26" s="51"/>
      <c r="B26" s="52"/>
      <c r="C26" s="50"/>
      <c r="D26" s="50"/>
      <c r="E26" s="49">
        <f t="shared" si="0"/>
        <v>0</v>
      </c>
      <c r="F26" s="51"/>
      <c r="G26" s="52"/>
      <c r="H26" s="50"/>
      <c r="I26" s="50"/>
      <c r="J26" s="49">
        <f t="shared" si="1"/>
        <v>0</v>
      </c>
    </row>
    <row r="27" spans="1:10" s="16" customFormat="1" ht="22.5" customHeight="1">
      <c r="A27" s="51"/>
      <c r="B27" s="52"/>
      <c r="C27" s="50"/>
      <c r="D27" s="50"/>
      <c r="E27" s="49">
        <f t="shared" si="0"/>
        <v>0</v>
      </c>
      <c r="F27" s="51"/>
      <c r="G27" s="52"/>
      <c r="H27" s="50"/>
      <c r="I27" s="50"/>
      <c r="J27" s="49">
        <f t="shared" si="1"/>
        <v>0</v>
      </c>
    </row>
    <row r="28" spans="1:10" s="16" customFormat="1" ht="22.5" customHeight="1">
      <c r="A28" s="51"/>
      <c r="B28" s="52"/>
      <c r="C28" s="50"/>
      <c r="D28" s="50"/>
      <c r="E28" s="49">
        <f t="shared" si="0"/>
        <v>0</v>
      </c>
      <c r="F28" s="51"/>
      <c r="G28" s="52"/>
      <c r="H28" s="50"/>
      <c r="I28" s="50"/>
      <c r="J28" s="49">
        <f t="shared" si="1"/>
        <v>0</v>
      </c>
    </row>
    <row r="29" spans="1:10" s="16" customFormat="1" ht="22.5" customHeight="1">
      <c r="A29" s="51"/>
      <c r="B29" s="52"/>
      <c r="C29" s="50"/>
      <c r="D29" s="50"/>
      <c r="E29" s="49">
        <f t="shared" si="0"/>
        <v>0</v>
      </c>
      <c r="F29" s="51"/>
      <c r="G29" s="52"/>
      <c r="H29" s="50"/>
      <c r="I29" s="50"/>
      <c r="J29" s="49">
        <f t="shared" si="1"/>
        <v>0</v>
      </c>
    </row>
    <row r="30" spans="1:10" s="16" customFormat="1" ht="22.5" customHeight="1">
      <c r="A30" s="51"/>
      <c r="B30" s="52"/>
      <c r="C30" s="50"/>
      <c r="D30" s="50"/>
      <c r="E30" s="49">
        <f t="shared" si="0"/>
        <v>0</v>
      </c>
      <c r="F30" s="51"/>
      <c r="G30" s="52"/>
      <c r="H30" s="50"/>
      <c r="I30" s="50"/>
      <c r="J30" s="49">
        <f t="shared" si="1"/>
        <v>0</v>
      </c>
    </row>
    <row r="31" spans="1:10" ht="22.5" customHeight="1">
      <c r="A31" s="46" t="s">
        <v>40</v>
      </c>
      <c r="B31" s="48"/>
      <c r="C31" s="86">
        <f>SUM(C5:C30)</f>
        <v>40</v>
      </c>
      <c r="D31" s="88"/>
      <c r="E31" s="84">
        <f>SUM(E5:E30)</f>
        <v>0</v>
      </c>
      <c r="F31" s="87" t="s">
        <v>39</v>
      </c>
      <c r="G31" s="48"/>
      <c r="H31" s="86">
        <f>SUM(H5:H30)</f>
        <v>60</v>
      </c>
      <c r="I31" s="85"/>
      <c r="J31" s="84">
        <f>SUM(J5:J30)</f>
        <v>0</v>
      </c>
    </row>
    <row r="32" spans="1:10" ht="22.5" customHeight="1" thickBot="1">
      <c r="A32" s="41" t="s">
        <v>38</v>
      </c>
      <c r="B32" s="40"/>
      <c r="C32" s="83">
        <f>(C31+H31)</f>
        <v>100</v>
      </c>
      <c r="D32" s="40"/>
      <c r="E32" s="82">
        <f>(E31+J31)</f>
        <v>0</v>
      </c>
      <c r="F32" s="170" t="s">
        <v>37</v>
      </c>
      <c r="G32" s="171"/>
      <c r="H32" s="172"/>
      <c r="I32" s="173"/>
      <c r="J32" s="174"/>
    </row>
  </sheetData>
  <mergeCells count="5">
    <mergeCell ref="A1:J1"/>
    <mergeCell ref="A2:J2"/>
    <mergeCell ref="A3:J3"/>
    <mergeCell ref="F32:G32"/>
    <mergeCell ref="H32:J32"/>
  </mergeCells>
  <phoneticPr fontId="2" type="noConversion"/>
  <pageMargins left="0.25" right="0.25" top="0.75" bottom="0.75" header="0.3" footer="0.3"/>
  <pageSetup paperSize="9" fitToHeight="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3E601-93D7-462E-A96E-A600029A088D}">
  <dimension ref="A1:G132"/>
  <sheetViews>
    <sheetView zoomScale="115" zoomScaleNormal="115" workbookViewId="0">
      <selection activeCell="G5" sqref="G5"/>
    </sheetView>
  </sheetViews>
  <sheetFormatPr defaultColWidth="8.92578125" defaultRowHeight="24" customHeight="1"/>
  <cols>
    <col min="1" max="1" width="10.35546875" style="89" customWidth="1"/>
    <col min="2" max="2" width="7" style="89" customWidth="1"/>
    <col min="3" max="3" width="2.7109375" style="89" customWidth="1"/>
    <col min="4" max="4" width="10.92578125" style="89" customWidth="1"/>
    <col min="5" max="5" width="6.640625" style="89" hidden="1" customWidth="1"/>
    <col min="6" max="6" width="14.7109375" style="89" customWidth="1"/>
    <col min="7" max="7" width="25.2109375" style="89" customWidth="1"/>
    <col min="8" max="16384" width="8.92578125" style="89"/>
  </cols>
  <sheetData>
    <row r="1" spans="1:7" ht="24" customHeight="1" thickBot="1">
      <c r="A1" s="196" t="s">
        <v>113</v>
      </c>
      <c r="B1" s="196"/>
      <c r="C1" s="196"/>
      <c r="D1" s="196"/>
      <c r="E1" s="116"/>
      <c r="F1" s="115"/>
      <c r="G1" s="114" t="s">
        <v>112</v>
      </c>
    </row>
    <row r="2" spans="1:7" ht="24" customHeight="1">
      <c r="A2" s="197" t="s">
        <v>111</v>
      </c>
      <c r="B2" s="197"/>
      <c r="C2" s="197"/>
      <c r="D2" s="113"/>
    </row>
    <row r="3" spans="1:7" ht="24" customHeight="1" thickBot="1">
      <c r="B3" s="112"/>
      <c r="C3" s="112"/>
      <c r="D3" s="112"/>
    </row>
    <row r="4" spans="1:7" ht="24" customHeight="1">
      <c r="A4" s="111"/>
      <c r="B4" s="198"/>
      <c r="C4" s="199"/>
      <c r="D4" s="199"/>
      <c r="E4" s="110"/>
      <c r="F4" s="109"/>
      <c r="G4" s="109" t="s">
        <v>101</v>
      </c>
    </row>
    <row r="5" spans="1:7" ht="24" customHeight="1">
      <c r="A5" s="200"/>
      <c r="B5" s="202" t="s">
        <v>110</v>
      </c>
      <c r="C5" s="203"/>
      <c r="D5" s="107">
        <f>D15+D18+D40+D43+D51+D63+D76+D48+D24+D34+D58+D67+D27+D21+D84+D30+D54</f>
        <v>334</v>
      </c>
      <c r="E5" s="108"/>
      <c r="F5" s="107"/>
      <c r="G5" s="107"/>
    </row>
    <row r="6" spans="1:7" ht="24" customHeight="1">
      <c r="A6" s="201"/>
      <c r="B6" s="202" t="s">
        <v>109</v>
      </c>
      <c r="C6" s="203"/>
      <c r="D6" s="107">
        <f>D92+D106+D100</f>
        <v>33</v>
      </c>
      <c r="E6" s="108"/>
      <c r="F6" s="107"/>
      <c r="G6" s="107"/>
    </row>
    <row r="7" spans="1:7" ht="24" customHeight="1">
      <c r="A7" s="201"/>
      <c r="B7" s="204" t="s">
        <v>108</v>
      </c>
      <c r="C7" s="205"/>
      <c r="D7" s="107">
        <f>D109</f>
        <v>2</v>
      </c>
      <c r="E7" s="108"/>
      <c r="F7" s="107"/>
      <c r="G7" s="107"/>
    </row>
    <row r="8" spans="1:7" ht="24" customHeight="1" thickBot="1">
      <c r="A8" s="201"/>
      <c r="B8" s="206" t="s">
        <v>107</v>
      </c>
      <c r="C8" s="206"/>
      <c r="D8" s="106">
        <f>D132+D115+D124</f>
        <v>33</v>
      </c>
      <c r="E8" s="105"/>
      <c r="F8" s="104"/>
      <c r="G8" s="104"/>
    </row>
    <row r="9" spans="1:7" ht="24" customHeight="1" thickBot="1">
      <c r="A9" s="103"/>
      <c r="B9" s="192" t="s">
        <v>106</v>
      </c>
      <c r="C9" s="193"/>
      <c r="D9" s="102">
        <f>SUM(D5:D8)</f>
        <v>402</v>
      </c>
      <c r="E9" s="101"/>
      <c r="F9" s="101"/>
      <c r="G9" s="100" t="s">
        <v>105</v>
      </c>
    </row>
    <row r="10" spans="1:7" ht="24" customHeight="1">
      <c r="A10" s="99" t="s">
        <v>104</v>
      </c>
      <c r="B10" s="194" t="s">
        <v>103</v>
      </c>
      <c r="C10" s="195"/>
      <c r="D10" s="98" t="s">
        <v>31</v>
      </c>
      <c r="E10" s="98"/>
      <c r="F10" s="97" t="s">
        <v>102</v>
      </c>
      <c r="G10" s="97" t="s">
        <v>101</v>
      </c>
    </row>
    <row r="11" spans="1:7" ht="24" customHeight="1">
      <c r="A11" s="93">
        <v>32</v>
      </c>
      <c r="B11" s="93" t="s">
        <v>97</v>
      </c>
      <c r="C11" s="93" t="s">
        <v>91</v>
      </c>
      <c r="D11" s="93">
        <v>1</v>
      </c>
      <c r="E11" s="95"/>
      <c r="F11" s="94"/>
      <c r="G11" s="94"/>
    </row>
    <row r="12" spans="1:7" ht="24" customHeight="1">
      <c r="A12" s="93">
        <v>316</v>
      </c>
      <c r="B12" s="93" t="s">
        <v>97</v>
      </c>
      <c r="C12" s="93" t="s">
        <v>91</v>
      </c>
      <c r="D12" s="93">
        <v>4</v>
      </c>
      <c r="E12" s="95"/>
      <c r="F12" s="94"/>
      <c r="G12" s="94"/>
    </row>
    <row r="13" spans="1:7" ht="24" customHeight="1">
      <c r="A13" s="93">
        <v>527</v>
      </c>
      <c r="B13" s="93" t="s">
        <v>97</v>
      </c>
      <c r="C13" s="93" t="s">
        <v>91</v>
      </c>
      <c r="D13" s="93">
        <v>4</v>
      </c>
      <c r="E13" s="95"/>
      <c r="F13" s="94"/>
      <c r="G13" s="94"/>
    </row>
    <row r="14" spans="1:7" ht="24" customHeight="1">
      <c r="A14" s="93">
        <v>25</v>
      </c>
      <c r="B14" s="93" t="s">
        <v>97</v>
      </c>
      <c r="C14" s="93" t="s">
        <v>91</v>
      </c>
      <c r="D14" s="93">
        <v>11</v>
      </c>
      <c r="E14" s="95"/>
      <c r="F14" s="94"/>
      <c r="G14" s="94"/>
    </row>
    <row r="15" spans="1:7" ht="24" customHeight="1">
      <c r="A15" s="93"/>
      <c r="B15" s="92" t="s">
        <v>24</v>
      </c>
      <c r="C15" s="92" t="s">
        <v>91</v>
      </c>
      <c r="D15" s="92">
        <f>SUM(D11:D14)</f>
        <v>20</v>
      </c>
      <c r="E15" s="91"/>
      <c r="F15" s="90"/>
      <c r="G15" s="90"/>
    </row>
    <row r="16" spans="1:7" ht="24" customHeight="1">
      <c r="A16" s="93">
        <v>482</v>
      </c>
      <c r="B16" s="93" t="s">
        <v>97</v>
      </c>
      <c r="C16" s="93" t="s">
        <v>91</v>
      </c>
      <c r="D16" s="93">
        <v>13</v>
      </c>
      <c r="E16" s="95"/>
      <c r="F16" s="94"/>
      <c r="G16" s="94"/>
    </row>
    <row r="17" spans="1:7" ht="24" customHeight="1">
      <c r="A17" s="93">
        <v>456</v>
      </c>
      <c r="B17" s="93" t="s">
        <v>97</v>
      </c>
      <c r="C17" s="93" t="s">
        <v>91</v>
      </c>
      <c r="D17" s="93">
        <v>25</v>
      </c>
      <c r="E17" s="95"/>
      <c r="F17" s="94"/>
      <c r="G17" s="94"/>
    </row>
    <row r="18" spans="1:7" ht="24" customHeight="1">
      <c r="A18" s="93"/>
      <c r="B18" s="92" t="s">
        <v>24</v>
      </c>
      <c r="C18" s="92" t="s">
        <v>91</v>
      </c>
      <c r="D18" s="92">
        <f>SUM(D16:D17)</f>
        <v>38</v>
      </c>
      <c r="E18" s="91"/>
      <c r="F18" s="90"/>
      <c r="G18" s="90"/>
    </row>
    <row r="19" spans="1:7" ht="24" customHeight="1">
      <c r="A19" s="93">
        <v>513</v>
      </c>
      <c r="B19" s="93" t="s">
        <v>97</v>
      </c>
      <c r="C19" s="93" t="s">
        <v>91</v>
      </c>
      <c r="D19" s="93">
        <v>16</v>
      </c>
      <c r="E19" s="95"/>
      <c r="F19" s="94"/>
      <c r="G19" s="94"/>
    </row>
    <row r="20" spans="1:7" ht="24" customHeight="1">
      <c r="A20" s="93">
        <v>350</v>
      </c>
      <c r="B20" s="93" t="s">
        <v>97</v>
      </c>
      <c r="C20" s="93" t="s">
        <v>91</v>
      </c>
      <c r="D20" s="93">
        <v>10</v>
      </c>
      <c r="E20" s="95"/>
      <c r="F20" s="94"/>
      <c r="G20" s="94"/>
    </row>
    <row r="21" spans="1:7" ht="24" customHeight="1">
      <c r="A21" s="93"/>
      <c r="B21" s="92" t="s">
        <v>24</v>
      </c>
      <c r="C21" s="92" t="s">
        <v>91</v>
      </c>
      <c r="D21" s="92">
        <f>SUM(D19:D20)</f>
        <v>26</v>
      </c>
      <c r="E21" s="91"/>
      <c r="F21" s="90"/>
      <c r="G21" s="90"/>
    </row>
    <row r="22" spans="1:7" ht="24" customHeight="1">
      <c r="A22" s="93">
        <v>299</v>
      </c>
      <c r="B22" s="93" t="s">
        <v>97</v>
      </c>
      <c r="C22" s="93" t="s">
        <v>91</v>
      </c>
      <c r="D22" s="93">
        <v>2</v>
      </c>
      <c r="E22" s="95"/>
      <c r="F22" s="94"/>
      <c r="G22" s="94"/>
    </row>
    <row r="23" spans="1:7" ht="24" customHeight="1">
      <c r="A23" s="93">
        <v>435</v>
      </c>
      <c r="B23" s="93" t="s">
        <v>97</v>
      </c>
      <c r="C23" s="93" t="s">
        <v>91</v>
      </c>
      <c r="D23" s="93">
        <v>7</v>
      </c>
      <c r="E23" s="95"/>
      <c r="F23" s="94"/>
      <c r="G23" s="94"/>
    </row>
    <row r="24" spans="1:7" ht="24" customHeight="1">
      <c r="A24" s="93"/>
      <c r="B24" s="92" t="s">
        <v>24</v>
      </c>
      <c r="C24" s="92" t="s">
        <v>91</v>
      </c>
      <c r="D24" s="92">
        <f>SUM(D22:D23)</f>
        <v>9</v>
      </c>
      <c r="E24" s="91"/>
      <c r="F24" s="90"/>
      <c r="G24" s="90"/>
    </row>
    <row r="25" spans="1:7" ht="24" customHeight="1">
      <c r="A25" s="93">
        <v>491</v>
      </c>
      <c r="B25" s="93" t="s">
        <v>97</v>
      </c>
      <c r="C25" s="93" t="s">
        <v>91</v>
      </c>
      <c r="D25" s="93">
        <v>14</v>
      </c>
      <c r="E25" s="95"/>
      <c r="F25" s="94"/>
      <c r="G25" s="94"/>
    </row>
    <row r="26" spans="1:7" ht="24" customHeight="1">
      <c r="A26" s="93">
        <v>546</v>
      </c>
      <c r="B26" s="93" t="s">
        <v>97</v>
      </c>
      <c r="C26" s="93" t="s">
        <v>91</v>
      </c>
      <c r="D26" s="93">
        <v>14</v>
      </c>
      <c r="E26" s="95"/>
      <c r="F26" s="94"/>
      <c r="G26" s="94"/>
    </row>
    <row r="27" spans="1:7" ht="24" customHeight="1">
      <c r="A27" s="93"/>
      <c r="B27" s="92" t="s">
        <v>24</v>
      </c>
      <c r="C27" s="92" t="s">
        <v>91</v>
      </c>
      <c r="D27" s="92">
        <f>SUM(D25:D26)</f>
        <v>28</v>
      </c>
      <c r="E27" s="91"/>
      <c r="F27" s="90"/>
      <c r="G27" s="90"/>
    </row>
    <row r="28" spans="1:7" ht="24" customHeight="1">
      <c r="A28" s="93">
        <v>11</v>
      </c>
      <c r="B28" s="93" t="s">
        <v>97</v>
      </c>
      <c r="C28" s="93" t="s">
        <v>91</v>
      </c>
      <c r="D28" s="93">
        <v>7</v>
      </c>
      <c r="E28" s="95"/>
      <c r="F28" s="94"/>
      <c r="G28" s="94"/>
    </row>
    <row r="29" spans="1:7" ht="24" customHeight="1">
      <c r="A29" s="93">
        <v>536</v>
      </c>
      <c r="B29" s="93" t="s">
        <v>97</v>
      </c>
      <c r="C29" s="93" t="s">
        <v>91</v>
      </c>
      <c r="D29" s="93">
        <v>5</v>
      </c>
      <c r="E29" s="95"/>
      <c r="F29" s="94"/>
      <c r="G29" s="94"/>
    </row>
    <row r="30" spans="1:7" ht="24" customHeight="1">
      <c r="A30" s="93"/>
      <c r="B30" s="92" t="s">
        <v>24</v>
      </c>
      <c r="C30" s="92" t="s">
        <v>91</v>
      </c>
      <c r="D30" s="92">
        <f>SUM(D28:D29)</f>
        <v>12</v>
      </c>
      <c r="E30" s="91"/>
      <c r="F30" s="90"/>
      <c r="G30" s="90"/>
    </row>
    <row r="31" spans="1:7" ht="24" customHeight="1">
      <c r="A31" s="93">
        <v>465</v>
      </c>
      <c r="B31" s="93" t="s">
        <v>97</v>
      </c>
      <c r="C31" s="93" t="s">
        <v>100</v>
      </c>
      <c r="D31" s="93">
        <v>4</v>
      </c>
      <c r="E31" s="95"/>
      <c r="F31" s="94"/>
      <c r="G31" s="94"/>
    </row>
    <row r="32" spans="1:7" ht="24" customHeight="1">
      <c r="A32" s="93">
        <v>534</v>
      </c>
      <c r="B32" s="93" t="s">
        <v>97</v>
      </c>
      <c r="C32" s="93" t="s">
        <v>100</v>
      </c>
      <c r="D32" s="93">
        <v>8</v>
      </c>
      <c r="E32" s="95"/>
      <c r="F32" s="94"/>
      <c r="G32" s="94"/>
    </row>
    <row r="33" spans="1:7" ht="24" customHeight="1">
      <c r="A33" s="93">
        <v>418</v>
      </c>
      <c r="B33" s="93" t="s">
        <v>97</v>
      </c>
      <c r="C33" s="93" t="s">
        <v>100</v>
      </c>
      <c r="D33" s="93">
        <v>3</v>
      </c>
      <c r="E33" s="95"/>
      <c r="F33" s="94"/>
      <c r="G33" s="94"/>
    </row>
    <row r="34" spans="1:7" ht="24" customHeight="1">
      <c r="A34" s="93"/>
      <c r="B34" s="92" t="s">
        <v>24</v>
      </c>
      <c r="C34" s="92" t="s">
        <v>91</v>
      </c>
      <c r="D34" s="92">
        <f>SUM(D31:D33)</f>
        <v>15</v>
      </c>
      <c r="E34" s="91"/>
      <c r="F34" s="90"/>
      <c r="G34" s="90"/>
    </row>
    <row r="35" spans="1:7" ht="24" customHeight="1">
      <c r="A35" s="93"/>
      <c r="B35" s="93"/>
      <c r="C35" s="93"/>
      <c r="D35" s="93"/>
      <c r="E35" s="95"/>
      <c r="F35" s="94"/>
      <c r="G35" s="94"/>
    </row>
    <row r="36" spans="1:7" ht="24" customHeight="1">
      <c r="A36" s="93">
        <v>32</v>
      </c>
      <c r="B36" s="93" t="s">
        <v>97</v>
      </c>
      <c r="C36" s="93" t="s">
        <v>91</v>
      </c>
      <c r="D36" s="93">
        <v>1</v>
      </c>
      <c r="E36" s="95"/>
      <c r="F36" s="94"/>
      <c r="G36" s="94"/>
    </row>
    <row r="37" spans="1:7" ht="24" customHeight="1">
      <c r="A37" s="93">
        <v>316</v>
      </c>
      <c r="B37" s="93" t="s">
        <v>97</v>
      </c>
      <c r="C37" s="93" t="s">
        <v>91</v>
      </c>
      <c r="D37" s="93">
        <v>3</v>
      </c>
      <c r="E37" s="95"/>
      <c r="F37" s="94"/>
      <c r="G37" s="94"/>
    </row>
    <row r="38" spans="1:7" ht="24" customHeight="1">
      <c r="A38" s="93">
        <v>527</v>
      </c>
      <c r="B38" s="93" t="s">
        <v>97</v>
      </c>
      <c r="C38" s="93" t="s">
        <v>91</v>
      </c>
      <c r="D38" s="93">
        <v>5</v>
      </c>
      <c r="E38" s="95"/>
      <c r="F38" s="94"/>
      <c r="G38" s="94"/>
    </row>
    <row r="39" spans="1:7" ht="24" customHeight="1">
      <c r="A39" s="93">
        <v>25</v>
      </c>
      <c r="B39" s="93" t="s">
        <v>97</v>
      </c>
      <c r="C39" s="93" t="s">
        <v>91</v>
      </c>
      <c r="D39" s="93">
        <v>8</v>
      </c>
      <c r="E39" s="95"/>
      <c r="F39" s="94"/>
      <c r="G39" s="94"/>
    </row>
    <row r="40" spans="1:7" ht="24" customHeight="1">
      <c r="A40" s="93"/>
      <c r="B40" s="92" t="s">
        <v>99</v>
      </c>
      <c r="C40" s="92" t="s">
        <v>91</v>
      </c>
      <c r="D40" s="92">
        <f>SUM(D36:D39)</f>
        <v>17</v>
      </c>
      <c r="E40" s="91"/>
      <c r="F40" s="90"/>
      <c r="G40" s="90"/>
    </row>
    <row r="41" spans="1:7" ht="24" customHeight="1">
      <c r="A41" s="93">
        <v>482</v>
      </c>
      <c r="B41" s="93" t="s">
        <v>97</v>
      </c>
      <c r="C41" s="93" t="s">
        <v>91</v>
      </c>
      <c r="D41" s="93">
        <v>13</v>
      </c>
      <c r="E41" s="95"/>
      <c r="F41" s="94"/>
      <c r="G41" s="94"/>
    </row>
    <row r="42" spans="1:7" ht="24" customHeight="1">
      <c r="A42" s="93">
        <v>456</v>
      </c>
      <c r="B42" s="93" t="s">
        <v>97</v>
      </c>
      <c r="C42" s="93" t="s">
        <v>91</v>
      </c>
      <c r="D42" s="93">
        <v>13</v>
      </c>
      <c r="E42" s="95"/>
      <c r="F42" s="94"/>
      <c r="G42" s="94"/>
    </row>
    <row r="43" spans="1:7" ht="24" customHeight="1">
      <c r="A43" s="93"/>
      <c r="B43" s="92" t="s">
        <v>99</v>
      </c>
      <c r="C43" s="92" t="s">
        <v>91</v>
      </c>
      <c r="D43" s="92">
        <f>SUM(D41:D42)</f>
        <v>26</v>
      </c>
      <c r="E43" s="91"/>
      <c r="F43" s="90"/>
      <c r="G43" s="90"/>
    </row>
    <row r="44" spans="1:7" ht="24" customHeight="1">
      <c r="A44" s="93">
        <v>513</v>
      </c>
      <c r="B44" s="93" t="s">
        <v>97</v>
      </c>
      <c r="C44" s="93" t="s">
        <v>91</v>
      </c>
      <c r="D44" s="93">
        <v>8</v>
      </c>
      <c r="E44" s="95"/>
      <c r="F44" s="94"/>
      <c r="G44" s="94"/>
    </row>
    <row r="45" spans="1:7" ht="24" customHeight="1">
      <c r="A45" s="93">
        <v>350</v>
      </c>
      <c r="B45" s="93" t="s">
        <v>97</v>
      </c>
      <c r="C45" s="93" t="s">
        <v>91</v>
      </c>
      <c r="D45" s="93">
        <v>14</v>
      </c>
      <c r="E45" s="95"/>
      <c r="F45" s="94"/>
      <c r="G45" s="94"/>
    </row>
    <row r="46" spans="1:7" ht="24" customHeight="1">
      <c r="A46" s="93">
        <v>299</v>
      </c>
      <c r="B46" s="93" t="s">
        <v>97</v>
      </c>
      <c r="C46" s="93" t="s">
        <v>91</v>
      </c>
      <c r="D46" s="93">
        <v>1</v>
      </c>
      <c r="E46" s="95"/>
      <c r="F46" s="94"/>
      <c r="G46" s="94"/>
    </row>
    <row r="47" spans="1:7" ht="24" customHeight="1">
      <c r="A47" s="93">
        <v>435</v>
      </c>
      <c r="B47" s="93" t="s">
        <v>97</v>
      </c>
      <c r="C47" s="93" t="s">
        <v>91</v>
      </c>
      <c r="D47" s="93">
        <v>2</v>
      </c>
      <c r="E47" s="95"/>
      <c r="F47" s="94"/>
      <c r="G47" s="94"/>
    </row>
    <row r="48" spans="1:7" ht="24" customHeight="1">
      <c r="A48" s="93"/>
      <c r="B48" s="92" t="s">
        <v>99</v>
      </c>
      <c r="C48" s="92" t="s">
        <v>91</v>
      </c>
      <c r="D48" s="92">
        <f>SUM(D44:D47)</f>
        <v>25</v>
      </c>
      <c r="E48" s="91"/>
      <c r="F48" s="90"/>
      <c r="G48" s="90"/>
    </row>
    <row r="49" spans="1:7" ht="24" customHeight="1">
      <c r="A49" s="93">
        <v>491</v>
      </c>
      <c r="B49" s="93" t="s">
        <v>97</v>
      </c>
      <c r="C49" s="93" t="s">
        <v>91</v>
      </c>
      <c r="D49" s="93">
        <v>9</v>
      </c>
      <c r="E49" s="95"/>
      <c r="F49" s="94"/>
      <c r="G49" s="94"/>
    </row>
    <row r="50" spans="1:7" ht="24" customHeight="1">
      <c r="A50" s="93">
        <v>546</v>
      </c>
      <c r="B50" s="93" t="s">
        <v>97</v>
      </c>
      <c r="C50" s="93" t="s">
        <v>91</v>
      </c>
      <c r="D50" s="93">
        <v>12</v>
      </c>
      <c r="E50" s="95"/>
      <c r="F50" s="94"/>
      <c r="G50" s="94"/>
    </row>
    <row r="51" spans="1:7" ht="24" customHeight="1">
      <c r="A51" s="93"/>
      <c r="B51" s="92" t="s">
        <v>99</v>
      </c>
      <c r="C51" s="92" t="s">
        <v>91</v>
      </c>
      <c r="D51" s="92">
        <f>SUM(D49:D50)</f>
        <v>21</v>
      </c>
      <c r="E51" s="91"/>
      <c r="F51" s="90"/>
      <c r="G51" s="90"/>
    </row>
    <row r="52" spans="1:7" ht="24" customHeight="1">
      <c r="A52" s="93">
        <v>11</v>
      </c>
      <c r="B52" s="93" t="s">
        <v>97</v>
      </c>
      <c r="C52" s="93" t="s">
        <v>91</v>
      </c>
      <c r="D52" s="93">
        <v>6</v>
      </c>
      <c r="E52" s="95"/>
      <c r="F52" s="94"/>
      <c r="G52" s="94"/>
    </row>
    <row r="53" spans="1:7" ht="24" customHeight="1">
      <c r="A53" s="93">
        <v>536</v>
      </c>
      <c r="B53" s="93" t="s">
        <v>97</v>
      </c>
      <c r="C53" s="93" t="s">
        <v>91</v>
      </c>
      <c r="D53" s="93">
        <v>10</v>
      </c>
      <c r="E53" s="95"/>
      <c r="F53" s="94"/>
      <c r="G53" s="94"/>
    </row>
    <row r="54" spans="1:7" ht="24" customHeight="1">
      <c r="A54" s="93"/>
      <c r="B54" s="92" t="s">
        <v>99</v>
      </c>
      <c r="C54" s="92" t="s">
        <v>91</v>
      </c>
      <c r="D54" s="92">
        <f>SUM(D52:D53)</f>
        <v>16</v>
      </c>
      <c r="E54" s="91"/>
      <c r="F54" s="90"/>
      <c r="G54" s="90"/>
    </row>
    <row r="55" spans="1:7" ht="24" customHeight="1">
      <c r="A55" s="93">
        <v>465</v>
      </c>
      <c r="B55" s="93" t="s">
        <v>97</v>
      </c>
      <c r="C55" s="93" t="s">
        <v>91</v>
      </c>
      <c r="D55" s="93">
        <v>5</v>
      </c>
      <c r="E55" s="95"/>
      <c r="F55" s="94"/>
      <c r="G55" s="94"/>
    </row>
    <row r="56" spans="1:7" ht="24" customHeight="1">
      <c r="A56" s="93">
        <v>534</v>
      </c>
      <c r="B56" s="93" t="s">
        <v>97</v>
      </c>
      <c r="C56" s="93" t="s">
        <v>91</v>
      </c>
      <c r="D56" s="93">
        <v>4</v>
      </c>
      <c r="E56" s="95"/>
      <c r="F56" s="94"/>
      <c r="G56" s="94"/>
    </row>
    <row r="57" spans="1:7" ht="24" customHeight="1">
      <c r="A57" s="93">
        <v>418</v>
      </c>
      <c r="B57" s="93" t="s">
        <v>97</v>
      </c>
      <c r="C57" s="93" t="s">
        <v>91</v>
      </c>
      <c r="D57" s="93">
        <v>7</v>
      </c>
      <c r="E57" s="95"/>
      <c r="F57" s="94"/>
      <c r="G57" s="94"/>
    </row>
    <row r="58" spans="1:7" ht="24" customHeight="1">
      <c r="A58" s="93"/>
      <c r="B58" s="92" t="s">
        <v>98</v>
      </c>
      <c r="C58" s="92" t="s">
        <v>91</v>
      </c>
      <c r="D58" s="92">
        <f>SUM(D55:D57)</f>
        <v>16</v>
      </c>
      <c r="E58" s="91"/>
      <c r="F58" s="90"/>
      <c r="G58" s="90"/>
    </row>
    <row r="59" spans="1:7" ht="24" customHeight="1">
      <c r="A59" s="93"/>
      <c r="B59" s="93"/>
      <c r="C59" s="93"/>
      <c r="D59" s="93"/>
      <c r="E59" s="95"/>
      <c r="F59" s="94"/>
      <c r="G59" s="94"/>
    </row>
    <row r="60" spans="1:7" ht="24" customHeight="1">
      <c r="A60" s="93">
        <v>546</v>
      </c>
      <c r="B60" s="93" t="s">
        <v>97</v>
      </c>
      <c r="C60" s="93" t="s">
        <v>91</v>
      </c>
      <c r="D60" s="93">
        <v>5</v>
      </c>
      <c r="E60" s="95"/>
      <c r="F60" s="94"/>
      <c r="G60" s="94"/>
    </row>
    <row r="61" spans="1:7" ht="24" customHeight="1">
      <c r="A61" s="93">
        <v>11</v>
      </c>
      <c r="B61" s="93" t="s">
        <v>97</v>
      </c>
      <c r="C61" s="93" t="s">
        <v>91</v>
      </c>
      <c r="D61" s="93">
        <v>3</v>
      </c>
      <c r="E61" s="95"/>
      <c r="F61" s="94"/>
      <c r="G61" s="94"/>
    </row>
    <row r="62" spans="1:7" ht="24" customHeight="1">
      <c r="A62" s="93">
        <v>536</v>
      </c>
      <c r="B62" s="93" t="s">
        <v>97</v>
      </c>
      <c r="C62" s="93" t="s">
        <v>91</v>
      </c>
      <c r="D62" s="93">
        <v>10</v>
      </c>
      <c r="E62" s="95"/>
      <c r="F62" s="94"/>
      <c r="G62" s="94"/>
    </row>
    <row r="63" spans="1:7" ht="24" customHeight="1">
      <c r="A63" s="93"/>
      <c r="B63" s="92" t="s">
        <v>94</v>
      </c>
      <c r="C63" s="92" t="s">
        <v>91</v>
      </c>
      <c r="D63" s="92">
        <f>SUM(D60:D62)</f>
        <v>18</v>
      </c>
      <c r="E63" s="91"/>
      <c r="F63" s="90"/>
      <c r="G63" s="90"/>
    </row>
    <row r="64" spans="1:7" ht="24" customHeight="1">
      <c r="A64" s="93">
        <v>465</v>
      </c>
      <c r="B64" s="93" t="s">
        <v>97</v>
      </c>
      <c r="C64" s="93" t="s">
        <v>91</v>
      </c>
      <c r="D64" s="93">
        <v>3</v>
      </c>
      <c r="E64" s="95"/>
      <c r="F64" s="94"/>
      <c r="G64" s="94"/>
    </row>
    <row r="65" spans="1:7" ht="24" customHeight="1">
      <c r="A65" s="93">
        <v>534</v>
      </c>
      <c r="B65" s="93" t="s">
        <v>97</v>
      </c>
      <c r="C65" s="93" t="s">
        <v>91</v>
      </c>
      <c r="D65" s="93">
        <v>1</v>
      </c>
      <c r="E65" s="95"/>
      <c r="F65" s="94"/>
      <c r="G65" s="94"/>
    </row>
    <row r="66" spans="1:7" ht="24" customHeight="1">
      <c r="A66" s="93">
        <v>418</v>
      </c>
      <c r="B66" s="93" t="s">
        <v>97</v>
      </c>
      <c r="C66" s="93" t="s">
        <v>91</v>
      </c>
      <c r="D66" s="93">
        <v>6</v>
      </c>
      <c r="E66" s="95"/>
      <c r="F66" s="94"/>
      <c r="G66" s="94"/>
    </row>
    <row r="67" spans="1:7" ht="24" customHeight="1">
      <c r="A67" s="93"/>
      <c r="B67" s="92" t="s">
        <v>94</v>
      </c>
      <c r="C67" s="92" t="s">
        <v>91</v>
      </c>
      <c r="D67" s="92">
        <f>SUM(D64:D66)</f>
        <v>10</v>
      </c>
      <c r="E67" s="91"/>
      <c r="F67" s="90"/>
      <c r="G67" s="90"/>
    </row>
    <row r="68" spans="1:7" ht="24" customHeight="1">
      <c r="A68" s="93"/>
      <c r="B68" s="93"/>
      <c r="C68" s="93"/>
      <c r="D68" s="93"/>
      <c r="E68" s="95"/>
      <c r="F68" s="94"/>
      <c r="G68" s="94"/>
    </row>
    <row r="69" spans="1:7" ht="24" customHeight="1">
      <c r="A69" s="93">
        <v>25</v>
      </c>
      <c r="B69" s="93" t="s">
        <v>97</v>
      </c>
      <c r="C69" s="93" t="s">
        <v>91</v>
      </c>
      <c r="D69" s="93">
        <v>1</v>
      </c>
      <c r="E69" s="95"/>
      <c r="F69" s="94"/>
      <c r="G69" s="94"/>
    </row>
    <row r="70" spans="1:7" ht="24" customHeight="1">
      <c r="A70" s="93">
        <v>482</v>
      </c>
      <c r="B70" s="93" t="s">
        <v>97</v>
      </c>
      <c r="C70" s="93" t="s">
        <v>91</v>
      </c>
      <c r="D70" s="93">
        <v>4</v>
      </c>
      <c r="E70" s="95"/>
      <c r="F70" s="94"/>
      <c r="G70" s="94"/>
    </row>
    <row r="71" spans="1:7" ht="24" customHeight="1">
      <c r="A71" s="93">
        <v>456</v>
      </c>
      <c r="B71" s="93" t="s">
        <v>97</v>
      </c>
      <c r="C71" s="93" t="s">
        <v>91</v>
      </c>
      <c r="D71" s="93">
        <v>1</v>
      </c>
      <c r="E71" s="95"/>
      <c r="F71" s="94"/>
      <c r="G71" s="94"/>
    </row>
    <row r="72" spans="1:7" ht="24" customHeight="1">
      <c r="A72" s="93">
        <v>513</v>
      </c>
      <c r="B72" s="93" t="s">
        <v>97</v>
      </c>
      <c r="C72" s="93" t="s">
        <v>91</v>
      </c>
      <c r="D72" s="93">
        <v>1</v>
      </c>
      <c r="E72" s="95"/>
      <c r="F72" s="94"/>
      <c r="G72" s="94"/>
    </row>
    <row r="73" spans="1:7" ht="24" customHeight="1">
      <c r="A73" s="93">
        <v>350</v>
      </c>
      <c r="B73" s="93" t="s">
        <v>97</v>
      </c>
      <c r="C73" s="93" t="s">
        <v>91</v>
      </c>
      <c r="D73" s="93">
        <v>6</v>
      </c>
      <c r="E73" s="95"/>
      <c r="F73" s="94"/>
      <c r="G73" s="94"/>
    </row>
    <row r="74" spans="1:7" ht="24" customHeight="1">
      <c r="A74" s="93">
        <v>299</v>
      </c>
      <c r="B74" s="93" t="s">
        <v>97</v>
      </c>
      <c r="C74" s="93" t="s">
        <v>91</v>
      </c>
      <c r="D74" s="93">
        <v>1</v>
      </c>
      <c r="E74" s="95"/>
      <c r="F74" s="94"/>
      <c r="G74" s="94"/>
    </row>
    <row r="75" spans="1:7" ht="24" customHeight="1">
      <c r="A75" s="93">
        <v>435</v>
      </c>
      <c r="B75" s="93" t="s">
        <v>97</v>
      </c>
      <c r="C75" s="93" t="s">
        <v>91</v>
      </c>
      <c r="D75" s="93">
        <v>1</v>
      </c>
      <c r="E75" s="95"/>
      <c r="F75" s="94"/>
      <c r="G75" s="94"/>
    </row>
    <row r="76" spans="1:7" ht="24" customHeight="1">
      <c r="A76" s="93"/>
      <c r="B76" s="92" t="s">
        <v>92</v>
      </c>
      <c r="C76" s="92" t="s">
        <v>91</v>
      </c>
      <c r="D76" s="92">
        <f>SUM(D69:D75)</f>
        <v>15</v>
      </c>
      <c r="E76" s="91"/>
      <c r="F76" s="90"/>
      <c r="G76" s="90"/>
    </row>
    <row r="77" spans="1:7" ht="24" customHeight="1">
      <c r="A77" s="93">
        <v>491</v>
      </c>
      <c r="B77" s="93" t="s">
        <v>97</v>
      </c>
      <c r="C77" s="93" t="s">
        <v>91</v>
      </c>
      <c r="D77" s="93">
        <v>2</v>
      </c>
      <c r="E77" s="95"/>
      <c r="F77" s="94"/>
      <c r="G77" s="94"/>
    </row>
    <row r="78" spans="1:7" ht="24" customHeight="1">
      <c r="A78" s="93">
        <v>546</v>
      </c>
      <c r="B78" s="93" t="s">
        <v>97</v>
      </c>
      <c r="C78" s="93" t="s">
        <v>91</v>
      </c>
      <c r="D78" s="93">
        <v>3</v>
      </c>
      <c r="E78" s="95"/>
      <c r="F78" s="94"/>
      <c r="G78" s="94"/>
    </row>
    <row r="79" spans="1:7" ht="24" customHeight="1">
      <c r="A79" s="93">
        <v>11</v>
      </c>
      <c r="B79" s="93" t="s">
        <v>97</v>
      </c>
      <c r="C79" s="93" t="s">
        <v>91</v>
      </c>
      <c r="D79" s="93">
        <v>1</v>
      </c>
      <c r="E79" s="95"/>
      <c r="F79" s="94"/>
      <c r="G79" s="94"/>
    </row>
    <row r="80" spans="1:7" ht="24" customHeight="1">
      <c r="A80" s="93">
        <v>536</v>
      </c>
      <c r="B80" s="93" t="s">
        <v>97</v>
      </c>
      <c r="C80" s="93" t="s">
        <v>91</v>
      </c>
      <c r="D80" s="93">
        <v>7</v>
      </c>
      <c r="E80" s="95"/>
      <c r="F80" s="94"/>
      <c r="G80" s="94"/>
    </row>
    <row r="81" spans="1:7" ht="24" customHeight="1">
      <c r="A81" s="93">
        <v>465</v>
      </c>
      <c r="B81" s="93" t="s">
        <v>97</v>
      </c>
      <c r="C81" s="93" t="s">
        <v>91</v>
      </c>
      <c r="D81" s="93">
        <v>2</v>
      </c>
      <c r="E81" s="95"/>
      <c r="F81" s="94"/>
      <c r="G81" s="94"/>
    </row>
    <row r="82" spans="1:7" ht="24" customHeight="1">
      <c r="A82" s="93">
        <v>534</v>
      </c>
      <c r="B82" s="93" t="s">
        <v>97</v>
      </c>
      <c r="C82" s="93" t="s">
        <v>91</v>
      </c>
      <c r="D82" s="93">
        <v>1</v>
      </c>
      <c r="E82" s="95"/>
      <c r="F82" s="94"/>
      <c r="G82" s="94"/>
    </row>
    <row r="83" spans="1:7" ht="24" customHeight="1">
      <c r="A83" s="93">
        <v>418</v>
      </c>
      <c r="B83" s="93" t="s">
        <v>97</v>
      </c>
      <c r="C83" s="93" t="s">
        <v>91</v>
      </c>
      <c r="D83" s="93">
        <v>6</v>
      </c>
      <c r="E83" s="95"/>
      <c r="F83" s="94"/>
      <c r="G83" s="94"/>
    </row>
    <row r="84" spans="1:7" ht="24" customHeight="1">
      <c r="A84" s="93"/>
      <c r="B84" s="92" t="s">
        <v>92</v>
      </c>
      <c r="C84" s="92" t="s">
        <v>91</v>
      </c>
      <c r="D84" s="92">
        <f>SUM(D77:D83)</f>
        <v>22</v>
      </c>
      <c r="E84" s="91"/>
      <c r="F84" s="90"/>
      <c r="G84" s="90"/>
    </row>
    <row r="85" spans="1:7" ht="24" customHeight="1">
      <c r="A85" s="96"/>
      <c r="B85" s="96"/>
      <c r="C85" s="96"/>
      <c r="D85" s="96"/>
      <c r="E85" s="91"/>
      <c r="F85" s="90"/>
      <c r="G85" s="90"/>
    </row>
    <row r="86" spans="1:7" ht="24" customHeight="1">
      <c r="A86" s="93">
        <v>527</v>
      </c>
      <c r="B86" s="93" t="s">
        <v>96</v>
      </c>
      <c r="C86" s="93" t="s">
        <v>91</v>
      </c>
      <c r="D86" s="93">
        <v>2</v>
      </c>
      <c r="E86" s="95"/>
      <c r="F86" s="94"/>
      <c r="G86" s="94"/>
    </row>
    <row r="87" spans="1:7" ht="24" customHeight="1">
      <c r="A87" s="93">
        <v>25</v>
      </c>
      <c r="B87" s="93" t="s">
        <v>96</v>
      </c>
      <c r="C87" s="93" t="s">
        <v>91</v>
      </c>
      <c r="D87" s="93">
        <v>1</v>
      </c>
      <c r="E87" s="95"/>
      <c r="F87" s="94"/>
      <c r="G87" s="94"/>
    </row>
    <row r="88" spans="1:7" ht="24" customHeight="1">
      <c r="A88" s="93">
        <v>482</v>
      </c>
      <c r="B88" s="93" t="s">
        <v>96</v>
      </c>
      <c r="C88" s="93" t="s">
        <v>91</v>
      </c>
      <c r="D88" s="93">
        <v>1</v>
      </c>
      <c r="E88" s="95"/>
      <c r="F88" s="94"/>
      <c r="G88" s="94"/>
    </row>
    <row r="89" spans="1:7" ht="24" customHeight="1">
      <c r="A89" s="93">
        <v>456</v>
      </c>
      <c r="B89" s="93" t="s">
        <v>96</v>
      </c>
      <c r="C89" s="93" t="s">
        <v>91</v>
      </c>
      <c r="D89" s="93">
        <v>1</v>
      </c>
      <c r="E89" s="95"/>
      <c r="F89" s="94"/>
      <c r="G89" s="94"/>
    </row>
    <row r="90" spans="1:7" ht="24" customHeight="1">
      <c r="A90" s="93">
        <v>513</v>
      </c>
      <c r="B90" s="93" t="s">
        <v>96</v>
      </c>
      <c r="C90" s="93" t="s">
        <v>91</v>
      </c>
      <c r="D90" s="93">
        <v>1</v>
      </c>
      <c r="E90" s="95"/>
      <c r="F90" s="94"/>
      <c r="G90" s="94"/>
    </row>
    <row r="91" spans="1:7" ht="24" customHeight="1">
      <c r="A91" s="93">
        <v>350</v>
      </c>
      <c r="B91" s="93" t="s">
        <v>96</v>
      </c>
      <c r="C91" s="93" t="s">
        <v>91</v>
      </c>
      <c r="D91" s="93">
        <v>4</v>
      </c>
      <c r="E91" s="95"/>
      <c r="F91" s="94"/>
      <c r="G91" s="94"/>
    </row>
    <row r="92" spans="1:7" ht="24" customHeight="1">
      <c r="A92" s="93"/>
      <c r="B92" s="92" t="s">
        <v>94</v>
      </c>
      <c r="C92" s="92" t="s">
        <v>91</v>
      </c>
      <c r="D92" s="92">
        <f>SUM(D86:D91)</f>
        <v>10</v>
      </c>
      <c r="E92" s="91"/>
      <c r="F92" s="90"/>
      <c r="G92" s="90"/>
    </row>
    <row r="93" spans="1:7" ht="24" customHeight="1">
      <c r="A93" s="93">
        <v>491</v>
      </c>
      <c r="B93" s="93" t="s">
        <v>96</v>
      </c>
      <c r="C93" s="93" t="s">
        <v>91</v>
      </c>
      <c r="D93" s="93">
        <v>2</v>
      </c>
      <c r="E93" s="95"/>
      <c r="F93" s="94"/>
      <c r="G93" s="94"/>
    </row>
    <row r="94" spans="1:7" ht="24" customHeight="1">
      <c r="A94" s="93">
        <v>546</v>
      </c>
      <c r="B94" s="93" t="s">
        <v>96</v>
      </c>
      <c r="C94" s="93" t="s">
        <v>91</v>
      </c>
      <c r="D94" s="93">
        <v>3</v>
      </c>
      <c r="E94" s="95"/>
      <c r="F94" s="94"/>
      <c r="G94" s="94"/>
    </row>
    <row r="95" spans="1:7" ht="24" customHeight="1">
      <c r="A95" s="93">
        <v>11</v>
      </c>
      <c r="B95" s="93" t="s">
        <v>96</v>
      </c>
      <c r="C95" s="93" t="s">
        <v>91</v>
      </c>
      <c r="D95" s="93">
        <v>1</v>
      </c>
      <c r="E95" s="95"/>
      <c r="F95" s="94"/>
      <c r="G95" s="94"/>
    </row>
    <row r="96" spans="1:7" ht="24" customHeight="1">
      <c r="A96" s="93">
        <v>536</v>
      </c>
      <c r="B96" s="93" t="s">
        <v>96</v>
      </c>
      <c r="C96" s="93" t="s">
        <v>91</v>
      </c>
      <c r="D96" s="93">
        <v>5</v>
      </c>
      <c r="E96" s="95"/>
      <c r="F96" s="94"/>
      <c r="G96" s="94"/>
    </row>
    <row r="97" spans="1:7" ht="24" customHeight="1">
      <c r="A97" s="93">
        <v>465</v>
      </c>
      <c r="B97" s="93" t="s">
        <v>96</v>
      </c>
      <c r="C97" s="93" t="s">
        <v>91</v>
      </c>
      <c r="D97" s="93">
        <v>1</v>
      </c>
      <c r="E97" s="95"/>
      <c r="F97" s="94"/>
      <c r="G97" s="94"/>
    </row>
    <row r="98" spans="1:7" ht="24" customHeight="1">
      <c r="A98" s="93">
        <v>534</v>
      </c>
      <c r="B98" s="93" t="s">
        <v>96</v>
      </c>
      <c r="C98" s="93" t="s">
        <v>91</v>
      </c>
      <c r="D98" s="93">
        <v>1</v>
      </c>
      <c r="E98" s="95"/>
      <c r="F98" s="94"/>
      <c r="G98" s="94"/>
    </row>
    <row r="99" spans="1:7" ht="24" customHeight="1">
      <c r="A99" s="93">
        <v>418</v>
      </c>
      <c r="B99" s="93" t="s">
        <v>96</v>
      </c>
      <c r="C99" s="93" t="s">
        <v>91</v>
      </c>
      <c r="D99" s="93">
        <v>4</v>
      </c>
      <c r="E99" s="95"/>
      <c r="F99" s="94"/>
      <c r="G99" s="94"/>
    </row>
    <row r="100" spans="1:7" ht="24" customHeight="1">
      <c r="A100" s="93"/>
      <c r="B100" s="92" t="s">
        <v>94</v>
      </c>
      <c r="C100" s="92" t="s">
        <v>91</v>
      </c>
      <c r="D100" s="92">
        <f>SUM(D93:D99)</f>
        <v>17</v>
      </c>
      <c r="E100" s="91"/>
      <c r="F100" s="90"/>
      <c r="G100" s="90"/>
    </row>
    <row r="101" spans="1:7" ht="24" customHeight="1">
      <c r="A101" s="93"/>
      <c r="B101" s="93"/>
      <c r="C101" s="93"/>
      <c r="D101" s="93"/>
      <c r="E101" s="95"/>
      <c r="F101" s="94"/>
      <c r="G101" s="94"/>
    </row>
    <row r="102" spans="1:7" ht="24" customHeight="1">
      <c r="A102" s="93">
        <v>527</v>
      </c>
      <c r="B102" s="93" t="s">
        <v>96</v>
      </c>
      <c r="C102" s="93" t="s">
        <v>91</v>
      </c>
      <c r="D102" s="93">
        <v>1</v>
      </c>
      <c r="E102" s="95"/>
      <c r="F102" s="94"/>
      <c r="G102" s="94"/>
    </row>
    <row r="103" spans="1:7" ht="24" customHeight="1">
      <c r="A103" s="93">
        <v>350</v>
      </c>
      <c r="B103" s="93" t="s">
        <v>96</v>
      </c>
      <c r="C103" s="93" t="s">
        <v>91</v>
      </c>
      <c r="D103" s="93">
        <v>1</v>
      </c>
      <c r="E103" s="95"/>
      <c r="F103" s="94"/>
      <c r="G103" s="94"/>
    </row>
    <row r="104" spans="1:7" ht="24" customHeight="1">
      <c r="A104" s="93">
        <v>536</v>
      </c>
      <c r="B104" s="93" t="s">
        <v>96</v>
      </c>
      <c r="C104" s="93" t="s">
        <v>91</v>
      </c>
      <c r="D104" s="93">
        <v>1</v>
      </c>
      <c r="E104" s="95"/>
      <c r="F104" s="94"/>
      <c r="G104" s="94"/>
    </row>
    <row r="105" spans="1:7" ht="24" customHeight="1">
      <c r="A105" s="93">
        <v>418</v>
      </c>
      <c r="B105" s="93" t="s">
        <v>96</v>
      </c>
      <c r="C105" s="93" t="s">
        <v>91</v>
      </c>
      <c r="D105" s="93">
        <v>3</v>
      </c>
      <c r="E105" s="95"/>
      <c r="F105" s="94"/>
      <c r="G105" s="94"/>
    </row>
    <row r="106" spans="1:7" ht="24" customHeight="1">
      <c r="A106" s="93"/>
      <c r="B106" s="92" t="s">
        <v>92</v>
      </c>
      <c r="C106" s="92" t="s">
        <v>91</v>
      </c>
      <c r="D106" s="92">
        <f>SUM(D102:D105)</f>
        <v>6</v>
      </c>
      <c r="E106" s="91"/>
      <c r="F106" s="90"/>
      <c r="G106" s="90"/>
    </row>
    <row r="107" spans="1:7" ht="24" customHeight="1">
      <c r="A107" s="93"/>
      <c r="B107" s="93"/>
      <c r="C107" s="93"/>
      <c r="D107" s="93"/>
      <c r="E107" s="95"/>
      <c r="F107" s="94"/>
      <c r="G107" s="94"/>
    </row>
    <row r="108" spans="1:7" ht="24" customHeight="1">
      <c r="A108" s="93">
        <v>546</v>
      </c>
      <c r="B108" s="93" t="s">
        <v>95</v>
      </c>
      <c r="C108" s="93" t="s">
        <v>91</v>
      </c>
      <c r="D108" s="93">
        <v>2</v>
      </c>
      <c r="E108" s="95"/>
      <c r="F108" s="94"/>
      <c r="G108" s="94"/>
    </row>
    <row r="109" spans="1:7" ht="24" customHeight="1">
      <c r="A109" s="93"/>
      <c r="B109" s="92" t="s">
        <v>94</v>
      </c>
      <c r="C109" s="92" t="s">
        <v>91</v>
      </c>
      <c r="D109" s="92">
        <f>SUM(D108)</f>
        <v>2</v>
      </c>
      <c r="E109" s="91"/>
      <c r="F109" s="90"/>
      <c r="G109" s="90"/>
    </row>
    <row r="110" spans="1:7" ht="24" customHeight="1">
      <c r="A110" s="93"/>
      <c r="B110" s="93"/>
      <c r="C110" s="93"/>
      <c r="D110" s="93"/>
      <c r="E110" s="95"/>
      <c r="F110" s="94"/>
      <c r="G110" s="94"/>
    </row>
    <row r="111" spans="1:7" ht="24" customHeight="1">
      <c r="A111" s="93">
        <v>536</v>
      </c>
      <c r="B111" s="93" t="s">
        <v>22</v>
      </c>
      <c r="C111" s="93" t="s">
        <v>91</v>
      </c>
      <c r="D111" s="93">
        <v>1</v>
      </c>
      <c r="E111" s="95"/>
      <c r="F111" s="94"/>
      <c r="G111" s="94"/>
    </row>
    <row r="112" spans="1:7" ht="24" customHeight="1">
      <c r="A112" s="93">
        <v>465</v>
      </c>
      <c r="B112" s="93" t="s">
        <v>22</v>
      </c>
      <c r="C112" s="93" t="s">
        <v>91</v>
      </c>
      <c r="D112" s="93">
        <v>2</v>
      </c>
      <c r="E112" s="95"/>
      <c r="F112" s="94"/>
      <c r="G112" s="94"/>
    </row>
    <row r="113" spans="1:7" ht="24" customHeight="1">
      <c r="A113" s="93">
        <v>534</v>
      </c>
      <c r="B113" s="93" t="s">
        <v>22</v>
      </c>
      <c r="C113" s="93" t="s">
        <v>91</v>
      </c>
      <c r="D113" s="93">
        <v>1</v>
      </c>
      <c r="E113" s="95"/>
      <c r="F113" s="94"/>
      <c r="G113" s="94"/>
    </row>
    <row r="114" spans="1:7" ht="24" customHeight="1">
      <c r="A114" s="93">
        <v>418</v>
      </c>
      <c r="B114" s="93" t="s">
        <v>22</v>
      </c>
      <c r="C114" s="93" t="s">
        <v>91</v>
      </c>
      <c r="D114" s="93">
        <v>1</v>
      </c>
      <c r="E114" s="95"/>
      <c r="F114" s="94"/>
      <c r="G114" s="94"/>
    </row>
    <row r="115" spans="1:7" ht="23.25" customHeight="1">
      <c r="A115" s="93"/>
      <c r="B115" s="92" t="s">
        <v>92</v>
      </c>
      <c r="C115" s="92" t="s">
        <v>91</v>
      </c>
      <c r="D115" s="92">
        <f>SUM(D111:D114)</f>
        <v>5</v>
      </c>
      <c r="E115" s="91"/>
      <c r="F115" s="90"/>
      <c r="G115" s="90"/>
    </row>
    <row r="117" spans="1:7" ht="24" customHeight="1">
      <c r="A117" s="93">
        <v>299</v>
      </c>
      <c r="B117" s="93" t="s">
        <v>20</v>
      </c>
      <c r="C117" s="93" t="s">
        <v>91</v>
      </c>
      <c r="D117" s="93">
        <v>2</v>
      </c>
      <c r="E117" s="95"/>
      <c r="F117" s="94"/>
      <c r="G117" s="94"/>
    </row>
    <row r="118" spans="1:7" ht="24" customHeight="1">
      <c r="A118" s="93">
        <v>491</v>
      </c>
      <c r="B118" s="93" t="s">
        <v>20</v>
      </c>
      <c r="C118" s="93" t="s">
        <v>91</v>
      </c>
      <c r="D118" s="93">
        <v>1</v>
      </c>
      <c r="E118" s="95"/>
      <c r="F118" s="94"/>
      <c r="G118" s="94"/>
    </row>
    <row r="119" spans="1:7" ht="24" customHeight="1">
      <c r="A119" s="93">
        <v>546</v>
      </c>
      <c r="B119" s="93" t="s">
        <v>20</v>
      </c>
      <c r="C119" s="93" t="s">
        <v>91</v>
      </c>
      <c r="D119" s="93">
        <v>3</v>
      </c>
      <c r="E119" s="95"/>
      <c r="F119" s="94"/>
      <c r="G119" s="94"/>
    </row>
    <row r="120" spans="1:7" ht="24" customHeight="1">
      <c r="A120" s="93">
        <v>11</v>
      </c>
      <c r="B120" s="93" t="s">
        <v>20</v>
      </c>
      <c r="C120" s="93" t="s">
        <v>91</v>
      </c>
      <c r="D120" s="93">
        <v>1</v>
      </c>
      <c r="E120" s="95"/>
      <c r="F120" s="94"/>
      <c r="G120" s="94"/>
    </row>
    <row r="121" spans="1:7" ht="24" customHeight="1">
      <c r="A121" s="93">
        <v>536</v>
      </c>
      <c r="B121" s="93" t="s">
        <v>20</v>
      </c>
      <c r="C121" s="93" t="s">
        <v>91</v>
      </c>
      <c r="D121" s="93">
        <v>3</v>
      </c>
      <c r="E121" s="95"/>
      <c r="F121" s="94"/>
      <c r="G121" s="94"/>
    </row>
    <row r="122" spans="1:7" ht="24" customHeight="1">
      <c r="A122" s="93">
        <v>465</v>
      </c>
      <c r="B122" s="93" t="s">
        <v>20</v>
      </c>
      <c r="C122" s="93" t="s">
        <v>91</v>
      </c>
      <c r="D122" s="93">
        <v>3</v>
      </c>
      <c r="E122" s="95"/>
      <c r="F122" s="94"/>
      <c r="G122" s="94"/>
    </row>
    <row r="123" spans="1:7" ht="24" customHeight="1">
      <c r="A123" s="93">
        <v>418</v>
      </c>
      <c r="B123" s="93" t="s">
        <v>20</v>
      </c>
      <c r="C123" s="93" t="s">
        <v>91</v>
      </c>
      <c r="D123" s="93">
        <v>1</v>
      </c>
      <c r="E123" s="95"/>
      <c r="F123" s="94"/>
      <c r="G123" s="94"/>
    </row>
    <row r="124" spans="1:7" ht="23.25" customHeight="1">
      <c r="A124" s="93"/>
      <c r="B124" s="92" t="s">
        <v>92</v>
      </c>
      <c r="C124" s="92" t="s">
        <v>91</v>
      </c>
      <c r="D124" s="92">
        <f>SUM(D117:D123)</f>
        <v>14</v>
      </c>
      <c r="E124" s="91"/>
      <c r="F124" s="90"/>
      <c r="G124" s="90"/>
    </row>
    <row r="126" spans="1:7" ht="24" customHeight="1">
      <c r="A126" s="93">
        <v>316</v>
      </c>
      <c r="B126" s="93" t="s">
        <v>93</v>
      </c>
      <c r="C126" s="93" t="s">
        <v>91</v>
      </c>
      <c r="D126" s="93">
        <v>2</v>
      </c>
      <c r="E126" s="95"/>
      <c r="F126" s="94"/>
      <c r="G126" s="94"/>
    </row>
    <row r="127" spans="1:7" ht="24" customHeight="1">
      <c r="A127" s="93">
        <v>527</v>
      </c>
      <c r="B127" s="93" t="s">
        <v>93</v>
      </c>
      <c r="C127" s="93" t="s">
        <v>91</v>
      </c>
      <c r="D127" s="93">
        <v>6</v>
      </c>
      <c r="E127" s="95"/>
      <c r="F127" s="94"/>
      <c r="G127" s="94"/>
    </row>
    <row r="128" spans="1:7" ht="24" customHeight="1">
      <c r="A128" s="93">
        <v>25</v>
      </c>
      <c r="B128" s="93" t="s">
        <v>93</v>
      </c>
      <c r="C128" s="93" t="s">
        <v>91</v>
      </c>
      <c r="D128" s="93">
        <v>2</v>
      </c>
      <c r="E128" s="95"/>
      <c r="F128" s="94"/>
      <c r="G128" s="94"/>
    </row>
    <row r="129" spans="1:7" ht="24" customHeight="1">
      <c r="A129" s="93">
        <v>435</v>
      </c>
      <c r="B129" s="93" t="s">
        <v>93</v>
      </c>
      <c r="C129" s="93" t="s">
        <v>91</v>
      </c>
      <c r="D129" s="93">
        <v>1</v>
      </c>
      <c r="E129" s="95"/>
      <c r="F129" s="94"/>
      <c r="G129" s="94"/>
    </row>
    <row r="130" spans="1:7" ht="24" customHeight="1">
      <c r="A130" s="93">
        <v>491</v>
      </c>
      <c r="B130" s="93" t="s">
        <v>93</v>
      </c>
      <c r="C130" s="93" t="s">
        <v>91</v>
      </c>
      <c r="D130" s="93">
        <v>2</v>
      </c>
      <c r="E130" s="95"/>
      <c r="F130" s="94"/>
      <c r="G130" s="94"/>
    </row>
    <row r="131" spans="1:7" ht="24" customHeight="1">
      <c r="A131" s="93">
        <v>418</v>
      </c>
      <c r="B131" s="93" t="s">
        <v>93</v>
      </c>
      <c r="C131" s="93" t="s">
        <v>91</v>
      </c>
      <c r="D131" s="93">
        <v>1</v>
      </c>
      <c r="E131" s="95"/>
      <c r="F131" s="94"/>
      <c r="G131" s="94"/>
    </row>
    <row r="132" spans="1:7" ht="23.25" customHeight="1">
      <c r="A132" s="93"/>
      <c r="B132" s="92" t="s">
        <v>92</v>
      </c>
      <c r="C132" s="92" t="s">
        <v>91</v>
      </c>
      <c r="D132" s="92">
        <f>SUM(D126:D131)</f>
        <v>14</v>
      </c>
      <c r="E132" s="91"/>
      <c r="F132" s="90"/>
      <c r="G132" s="90"/>
    </row>
  </sheetData>
  <mergeCells count="10">
    <mergeCell ref="B9:C9"/>
    <mergeCell ref="B10:C10"/>
    <mergeCell ref="A1:D1"/>
    <mergeCell ref="A2:C2"/>
    <mergeCell ref="B4:D4"/>
    <mergeCell ref="A5:A8"/>
    <mergeCell ref="B5:C5"/>
    <mergeCell ref="B6:C6"/>
    <mergeCell ref="B7:C7"/>
    <mergeCell ref="B8:C8"/>
  </mergeCells>
  <phoneticPr fontId="2" type="noConversion"/>
  <pageMargins left="0.83" right="0.43" top="1.23" bottom="0.19" header="0.16" footer="0.16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F6C8-4533-437D-B6AA-86CDD6EBCAAE}">
  <sheetPr>
    <pageSetUpPr fitToPage="1"/>
  </sheetPr>
  <dimension ref="A1:Q46"/>
  <sheetViews>
    <sheetView tabSelected="1" zoomScale="75" zoomScaleNormal="75" zoomScaleSheetLayoutView="75" workbookViewId="0">
      <selection activeCell="A4" sqref="A4:N4"/>
    </sheetView>
  </sheetViews>
  <sheetFormatPr defaultColWidth="8.92578125" defaultRowHeight="14.15"/>
  <cols>
    <col min="1" max="1" width="11" style="16" customWidth="1"/>
    <col min="2" max="14" width="10.92578125" style="16" customWidth="1"/>
    <col min="15" max="16384" width="8.92578125" style="16"/>
  </cols>
  <sheetData>
    <row r="1" spans="1:17" ht="55.5" customHeight="1" thickBot="1">
      <c r="A1" s="229" t="s">
        <v>166</v>
      </c>
      <c r="B1" s="229"/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</row>
    <row r="2" spans="1:17" ht="19.3">
      <c r="A2" s="230" t="s">
        <v>165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2"/>
    </row>
    <row r="3" spans="1:17" ht="22.5" customHeight="1">
      <c r="A3" s="138"/>
      <c r="B3" s="233" t="s">
        <v>164</v>
      </c>
      <c r="C3" s="233"/>
      <c r="D3" s="233"/>
      <c r="E3" s="233"/>
      <c r="F3" s="137" t="s">
        <v>163</v>
      </c>
      <c r="G3" s="233" t="s">
        <v>162</v>
      </c>
      <c r="H3" s="233"/>
      <c r="I3" s="233"/>
      <c r="J3" s="233"/>
      <c r="K3" s="233"/>
      <c r="L3" s="233"/>
      <c r="M3" s="233"/>
      <c r="N3" s="234"/>
    </row>
    <row r="4" spans="1:17" s="136" customFormat="1" ht="56.25" customHeight="1">
      <c r="A4" s="235" t="s">
        <v>161</v>
      </c>
      <c r="B4" s="236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8"/>
    </row>
    <row r="5" spans="1:17" s="136" customFormat="1" ht="21.75" customHeight="1">
      <c r="A5" s="222" t="s">
        <v>160</v>
      </c>
      <c r="B5" s="221"/>
      <c r="C5" s="223"/>
      <c r="D5" s="224"/>
      <c r="E5" s="226"/>
      <c r="F5" s="123" t="s">
        <v>159</v>
      </c>
      <c r="G5" s="214"/>
      <c r="H5" s="214"/>
      <c r="I5" s="214"/>
      <c r="J5" s="214"/>
      <c r="K5" s="214"/>
      <c r="L5" s="123" t="s">
        <v>158</v>
      </c>
      <c r="M5" s="214"/>
      <c r="N5" s="215"/>
    </row>
    <row r="6" spans="1:17" s="136" customFormat="1" ht="21.75" customHeight="1">
      <c r="A6" s="222" t="s">
        <v>157</v>
      </c>
      <c r="B6" s="221"/>
      <c r="C6" s="214" t="s">
        <v>156</v>
      </c>
      <c r="D6" s="214"/>
      <c r="E6" s="214"/>
      <c r="F6" s="214"/>
      <c r="G6" s="214" t="s">
        <v>155</v>
      </c>
      <c r="H6" s="214"/>
      <c r="I6" s="214"/>
      <c r="J6" s="214"/>
      <c r="K6" s="214"/>
      <c r="L6" s="214"/>
      <c r="M6" s="214"/>
      <c r="N6" s="215"/>
    </row>
    <row r="7" spans="1:17" s="136" customFormat="1" ht="21.75" customHeight="1">
      <c r="A7" s="222"/>
      <c r="B7" s="221"/>
      <c r="C7" s="223">
        <f>COUNT(M10:M33)</f>
        <v>24</v>
      </c>
      <c r="D7" s="224"/>
      <c r="E7" s="224"/>
      <c r="F7" s="224"/>
      <c r="G7" s="225">
        <f>M34</f>
        <v>402</v>
      </c>
      <c r="H7" s="225"/>
      <c r="I7" s="225"/>
      <c r="J7" s="225"/>
      <c r="K7" s="214"/>
      <c r="L7" s="214"/>
      <c r="M7" s="214"/>
      <c r="N7" s="215"/>
    </row>
    <row r="8" spans="1:17" ht="21" customHeight="1">
      <c r="A8" s="220" t="s">
        <v>154</v>
      </c>
      <c r="B8" s="227" t="s">
        <v>105</v>
      </c>
      <c r="C8" s="227"/>
      <c r="D8" s="228" t="s">
        <v>153</v>
      </c>
      <c r="E8" s="228" t="s">
        <v>152</v>
      </c>
      <c r="F8" s="228" t="s">
        <v>151</v>
      </c>
      <c r="G8" s="214"/>
      <c r="H8" s="214"/>
      <c r="I8" s="214"/>
      <c r="J8" s="214"/>
      <c r="K8" s="214"/>
      <c r="L8" s="214"/>
      <c r="M8" s="214"/>
      <c r="N8" s="124" t="s">
        <v>150</v>
      </c>
    </row>
    <row r="9" spans="1:17" ht="16.5" customHeight="1">
      <c r="A9" s="220"/>
      <c r="B9" s="227"/>
      <c r="C9" s="227"/>
      <c r="D9" s="227"/>
      <c r="E9" s="228"/>
      <c r="F9" s="228"/>
      <c r="G9" s="123" t="s">
        <v>97</v>
      </c>
      <c r="H9" s="123" t="s">
        <v>96</v>
      </c>
      <c r="I9" s="123" t="s">
        <v>95</v>
      </c>
      <c r="J9" s="123" t="s">
        <v>22</v>
      </c>
      <c r="K9" s="125" t="s">
        <v>20</v>
      </c>
      <c r="L9" s="123" t="s">
        <v>93</v>
      </c>
      <c r="M9" s="123" t="s">
        <v>149</v>
      </c>
      <c r="N9" s="135"/>
    </row>
    <row r="10" spans="1:17" s="128" customFormat="1" ht="32.25" customHeight="1">
      <c r="A10" s="134"/>
      <c r="B10" s="132" t="s">
        <v>147</v>
      </c>
      <c r="C10" s="133" t="s">
        <v>146</v>
      </c>
      <c r="D10" s="132" t="s">
        <v>145</v>
      </c>
      <c r="E10" s="132"/>
      <c r="F10" s="132" t="s">
        <v>24</v>
      </c>
      <c r="G10" s="131">
        <v>20</v>
      </c>
      <c r="H10" s="131"/>
      <c r="I10" s="131"/>
      <c r="J10" s="131"/>
      <c r="K10" s="131"/>
      <c r="L10" s="131"/>
      <c r="M10" s="131">
        <f t="shared" ref="M10:M33" si="0">SUM(G10:L10)</f>
        <v>20</v>
      </c>
      <c r="N10" s="130" t="s">
        <v>91</v>
      </c>
      <c r="Q10" s="129"/>
    </row>
    <row r="11" spans="1:17" s="128" customFormat="1" ht="32.25" customHeight="1">
      <c r="A11" s="134"/>
      <c r="B11" s="132" t="s">
        <v>147</v>
      </c>
      <c r="C11" s="133" t="s">
        <v>146</v>
      </c>
      <c r="D11" s="132" t="s">
        <v>145</v>
      </c>
      <c r="E11" s="132"/>
      <c r="F11" s="132" t="s">
        <v>24</v>
      </c>
      <c r="G11" s="131">
        <v>38</v>
      </c>
      <c r="H11" s="131"/>
      <c r="I11" s="131"/>
      <c r="J11" s="131"/>
      <c r="K11" s="131"/>
      <c r="L11" s="131"/>
      <c r="M11" s="131">
        <f t="shared" si="0"/>
        <v>38</v>
      </c>
      <c r="N11" s="130" t="s">
        <v>91</v>
      </c>
      <c r="Q11" s="129"/>
    </row>
    <row r="12" spans="1:17" s="128" customFormat="1" ht="32.25" customHeight="1">
      <c r="A12" s="134"/>
      <c r="B12" s="132" t="s">
        <v>147</v>
      </c>
      <c r="C12" s="133" t="s">
        <v>146</v>
      </c>
      <c r="D12" s="132" t="s">
        <v>145</v>
      </c>
      <c r="E12" s="132"/>
      <c r="F12" s="132" t="s">
        <v>24</v>
      </c>
      <c r="G12" s="131">
        <v>26</v>
      </c>
      <c r="H12" s="131"/>
      <c r="I12" s="131"/>
      <c r="J12" s="131"/>
      <c r="K12" s="131"/>
      <c r="L12" s="131"/>
      <c r="M12" s="131">
        <f t="shared" si="0"/>
        <v>26</v>
      </c>
      <c r="N12" s="130" t="s">
        <v>91</v>
      </c>
      <c r="Q12" s="129"/>
    </row>
    <row r="13" spans="1:17" s="128" customFormat="1" ht="32.25" customHeight="1">
      <c r="A13" s="134"/>
      <c r="B13" s="132" t="s">
        <v>147</v>
      </c>
      <c r="C13" s="133" t="s">
        <v>146</v>
      </c>
      <c r="D13" s="132" t="s">
        <v>145</v>
      </c>
      <c r="E13" s="132"/>
      <c r="F13" s="132" t="s">
        <v>24</v>
      </c>
      <c r="G13" s="131">
        <v>9</v>
      </c>
      <c r="H13" s="131"/>
      <c r="I13" s="131"/>
      <c r="J13" s="131"/>
      <c r="K13" s="131"/>
      <c r="L13" s="131"/>
      <c r="M13" s="131">
        <f t="shared" si="0"/>
        <v>9</v>
      </c>
      <c r="N13" s="130" t="s">
        <v>91</v>
      </c>
      <c r="Q13" s="129"/>
    </row>
    <row r="14" spans="1:17" s="128" customFormat="1" ht="32.25" customHeight="1">
      <c r="A14" s="134"/>
      <c r="B14" s="132" t="s">
        <v>147</v>
      </c>
      <c r="C14" s="133" t="s">
        <v>146</v>
      </c>
      <c r="D14" s="132" t="s">
        <v>145</v>
      </c>
      <c r="E14" s="132"/>
      <c r="F14" s="132" t="s">
        <v>24</v>
      </c>
      <c r="G14" s="131">
        <v>28</v>
      </c>
      <c r="H14" s="131"/>
      <c r="I14" s="131"/>
      <c r="J14" s="131"/>
      <c r="K14" s="131"/>
      <c r="L14" s="131"/>
      <c r="M14" s="131">
        <f t="shared" si="0"/>
        <v>28</v>
      </c>
      <c r="N14" s="130" t="s">
        <v>91</v>
      </c>
      <c r="Q14" s="129"/>
    </row>
    <row r="15" spans="1:17" s="128" customFormat="1" ht="32.25" customHeight="1">
      <c r="A15" s="134"/>
      <c r="B15" s="132" t="s">
        <v>147</v>
      </c>
      <c r="C15" s="133" t="s">
        <v>146</v>
      </c>
      <c r="D15" s="132" t="s">
        <v>145</v>
      </c>
      <c r="E15" s="132"/>
      <c r="F15" s="132" t="s">
        <v>24</v>
      </c>
      <c r="G15" s="131">
        <v>12</v>
      </c>
      <c r="H15" s="131"/>
      <c r="I15" s="131"/>
      <c r="J15" s="131"/>
      <c r="K15" s="131"/>
      <c r="L15" s="131"/>
      <c r="M15" s="131">
        <f t="shared" si="0"/>
        <v>12</v>
      </c>
      <c r="N15" s="130" t="s">
        <v>91</v>
      </c>
      <c r="Q15" s="129"/>
    </row>
    <row r="16" spans="1:17" s="128" customFormat="1" ht="32.25" customHeight="1">
      <c r="A16" s="134"/>
      <c r="B16" s="132" t="s">
        <v>147</v>
      </c>
      <c r="C16" s="133" t="s">
        <v>146</v>
      </c>
      <c r="D16" s="132" t="s">
        <v>145</v>
      </c>
      <c r="E16" s="132"/>
      <c r="F16" s="132" t="s">
        <v>24</v>
      </c>
      <c r="G16" s="131">
        <v>15</v>
      </c>
      <c r="H16" s="131"/>
      <c r="I16" s="131"/>
      <c r="J16" s="131"/>
      <c r="K16" s="131"/>
      <c r="L16" s="131"/>
      <c r="M16" s="131">
        <f t="shared" si="0"/>
        <v>15</v>
      </c>
      <c r="N16" s="130" t="s">
        <v>91</v>
      </c>
      <c r="Q16" s="129"/>
    </row>
    <row r="17" spans="1:17" s="128" customFormat="1" ht="32.25" customHeight="1">
      <c r="A17" s="134"/>
      <c r="B17" s="132" t="s">
        <v>147</v>
      </c>
      <c r="C17" s="133" t="s">
        <v>146</v>
      </c>
      <c r="D17" s="132" t="s">
        <v>145</v>
      </c>
      <c r="E17" s="132"/>
      <c r="F17" s="132" t="s">
        <v>99</v>
      </c>
      <c r="G17" s="131">
        <v>17</v>
      </c>
      <c r="H17" s="131"/>
      <c r="I17" s="131"/>
      <c r="J17" s="131"/>
      <c r="K17" s="131"/>
      <c r="L17" s="131"/>
      <c r="M17" s="131">
        <f t="shared" si="0"/>
        <v>17</v>
      </c>
      <c r="N17" s="130" t="s">
        <v>91</v>
      </c>
      <c r="Q17" s="129"/>
    </row>
    <row r="18" spans="1:17" s="128" customFormat="1" ht="32.25" customHeight="1">
      <c r="A18" s="134"/>
      <c r="B18" s="132" t="s">
        <v>147</v>
      </c>
      <c r="C18" s="133" t="s">
        <v>146</v>
      </c>
      <c r="D18" s="132" t="s">
        <v>145</v>
      </c>
      <c r="E18" s="132"/>
      <c r="F18" s="132" t="s">
        <v>99</v>
      </c>
      <c r="G18" s="131">
        <v>26</v>
      </c>
      <c r="H18" s="131"/>
      <c r="I18" s="131"/>
      <c r="J18" s="131"/>
      <c r="K18" s="131"/>
      <c r="L18" s="131"/>
      <c r="M18" s="131">
        <f t="shared" si="0"/>
        <v>26</v>
      </c>
      <c r="N18" s="130" t="s">
        <v>91</v>
      </c>
      <c r="Q18" s="129"/>
    </row>
    <row r="19" spans="1:17" s="128" customFormat="1" ht="32.25" customHeight="1">
      <c r="A19" s="134"/>
      <c r="B19" s="132" t="s">
        <v>147</v>
      </c>
      <c r="C19" s="133" t="s">
        <v>146</v>
      </c>
      <c r="D19" s="132" t="s">
        <v>145</v>
      </c>
      <c r="E19" s="132"/>
      <c r="F19" s="132" t="s">
        <v>99</v>
      </c>
      <c r="G19" s="131">
        <v>25</v>
      </c>
      <c r="H19" s="131"/>
      <c r="I19" s="131"/>
      <c r="J19" s="131"/>
      <c r="K19" s="131"/>
      <c r="L19" s="131"/>
      <c r="M19" s="131">
        <f t="shared" si="0"/>
        <v>25</v>
      </c>
      <c r="N19" s="130" t="s">
        <v>91</v>
      </c>
      <c r="Q19" s="129"/>
    </row>
    <row r="20" spans="1:17" s="128" customFormat="1" ht="32.25" customHeight="1">
      <c r="A20" s="134"/>
      <c r="B20" s="132" t="s">
        <v>147</v>
      </c>
      <c r="C20" s="133" t="s">
        <v>146</v>
      </c>
      <c r="D20" s="132" t="s">
        <v>145</v>
      </c>
      <c r="E20" s="132"/>
      <c r="F20" s="132" t="s">
        <v>99</v>
      </c>
      <c r="G20" s="131">
        <v>21</v>
      </c>
      <c r="H20" s="131"/>
      <c r="I20" s="131"/>
      <c r="J20" s="131"/>
      <c r="K20" s="131"/>
      <c r="L20" s="131"/>
      <c r="M20" s="131">
        <f t="shared" si="0"/>
        <v>21</v>
      </c>
      <c r="N20" s="130" t="s">
        <v>91</v>
      </c>
      <c r="Q20" s="129"/>
    </row>
    <row r="21" spans="1:17" s="128" customFormat="1" ht="32.25" customHeight="1">
      <c r="A21" s="134"/>
      <c r="B21" s="132" t="s">
        <v>147</v>
      </c>
      <c r="C21" s="133" t="s">
        <v>146</v>
      </c>
      <c r="D21" s="132" t="s">
        <v>145</v>
      </c>
      <c r="E21" s="132"/>
      <c r="F21" s="132" t="s">
        <v>99</v>
      </c>
      <c r="G21" s="131">
        <v>16</v>
      </c>
      <c r="H21" s="131"/>
      <c r="I21" s="131"/>
      <c r="J21" s="131"/>
      <c r="K21" s="131"/>
      <c r="L21" s="131"/>
      <c r="M21" s="131">
        <f t="shared" si="0"/>
        <v>16</v>
      </c>
      <c r="N21" s="130" t="s">
        <v>91</v>
      </c>
      <c r="Q21" s="129"/>
    </row>
    <row r="22" spans="1:17" s="128" customFormat="1" ht="32.25" customHeight="1">
      <c r="A22" s="134"/>
      <c r="B22" s="132" t="s">
        <v>147</v>
      </c>
      <c r="C22" s="133" t="s">
        <v>146</v>
      </c>
      <c r="D22" s="132" t="s">
        <v>145</v>
      </c>
      <c r="E22" s="132"/>
      <c r="F22" s="132" t="s">
        <v>99</v>
      </c>
      <c r="G22" s="131">
        <v>16</v>
      </c>
      <c r="H22" s="131"/>
      <c r="I22" s="131"/>
      <c r="J22" s="131"/>
      <c r="K22" s="131"/>
      <c r="L22" s="131"/>
      <c r="M22" s="131">
        <f t="shared" si="0"/>
        <v>16</v>
      </c>
      <c r="N22" s="130" t="s">
        <v>148</v>
      </c>
      <c r="Q22" s="129"/>
    </row>
    <row r="23" spans="1:17" s="128" customFormat="1" ht="32.25" customHeight="1">
      <c r="A23" s="134"/>
      <c r="B23" s="132" t="s">
        <v>147</v>
      </c>
      <c r="C23" s="133" t="s">
        <v>146</v>
      </c>
      <c r="D23" s="132" t="s">
        <v>145</v>
      </c>
      <c r="E23" s="132"/>
      <c r="F23" s="132" t="s">
        <v>94</v>
      </c>
      <c r="G23" s="131">
        <v>18</v>
      </c>
      <c r="H23" s="131"/>
      <c r="I23" s="131"/>
      <c r="J23" s="131"/>
      <c r="K23" s="131"/>
      <c r="L23" s="131"/>
      <c r="M23" s="131">
        <f t="shared" si="0"/>
        <v>18</v>
      </c>
      <c r="N23" s="130" t="s">
        <v>91</v>
      </c>
      <c r="Q23" s="129"/>
    </row>
    <row r="24" spans="1:17" s="128" customFormat="1" ht="32.25" customHeight="1">
      <c r="A24" s="134"/>
      <c r="B24" s="132" t="s">
        <v>147</v>
      </c>
      <c r="C24" s="133" t="s">
        <v>146</v>
      </c>
      <c r="D24" s="132" t="s">
        <v>145</v>
      </c>
      <c r="E24" s="132"/>
      <c r="F24" s="132" t="s">
        <v>94</v>
      </c>
      <c r="G24" s="131">
        <v>10</v>
      </c>
      <c r="H24" s="131"/>
      <c r="I24" s="131"/>
      <c r="J24" s="131"/>
      <c r="K24" s="131"/>
      <c r="L24" s="131"/>
      <c r="M24" s="131">
        <f t="shared" si="0"/>
        <v>10</v>
      </c>
      <c r="N24" s="130" t="s">
        <v>91</v>
      </c>
      <c r="Q24" s="129"/>
    </row>
    <row r="25" spans="1:17" s="128" customFormat="1" ht="32.25" customHeight="1">
      <c r="A25" s="134"/>
      <c r="B25" s="132" t="s">
        <v>147</v>
      </c>
      <c r="C25" s="133" t="s">
        <v>146</v>
      </c>
      <c r="D25" s="132" t="s">
        <v>145</v>
      </c>
      <c r="E25" s="132"/>
      <c r="F25" s="132" t="s">
        <v>92</v>
      </c>
      <c r="G25" s="131">
        <v>15</v>
      </c>
      <c r="H25" s="131"/>
      <c r="I25" s="131"/>
      <c r="J25" s="131"/>
      <c r="K25" s="131"/>
      <c r="L25" s="131"/>
      <c r="M25" s="131">
        <f t="shared" si="0"/>
        <v>15</v>
      </c>
      <c r="N25" s="130" t="s">
        <v>91</v>
      </c>
      <c r="Q25" s="129"/>
    </row>
    <row r="26" spans="1:17" s="128" customFormat="1" ht="32.25" customHeight="1">
      <c r="A26" s="134"/>
      <c r="B26" s="132" t="s">
        <v>147</v>
      </c>
      <c r="C26" s="133" t="s">
        <v>146</v>
      </c>
      <c r="D26" s="132" t="s">
        <v>145</v>
      </c>
      <c r="E26" s="132"/>
      <c r="F26" s="132" t="s">
        <v>92</v>
      </c>
      <c r="G26" s="131">
        <v>22</v>
      </c>
      <c r="H26" s="131"/>
      <c r="I26" s="131"/>
      <c r="J26" s="131"/>
      <c r="K26" s="131"/>
      <c r="L26" s="131"/>
      <c r="M26" s="131">
        <f t="shared" si="0"/>
        <v>22</v>
      </c>
      <c r="N26" s="130" t="s">
        <v>91</v>
      </c>
      <c r="Q26" s="129"/>
    </row>
    <row r="27" spans="1:17" s="128" customFormat="1" ht="32.25" customHeight="1">
      <c r="A27" s="134"/>
      <c r="B27" s="132" t="s">
        <v>147</v>
      </c>
      <c r="C27" s="133" t="s">
        <v>146</v>
      </c>
      <c r="D27" s="132" t="s">
        <v>145</v>
      </c>
      <c r="E27" s="132"/>
      <c r="F27" s="132" t="s">
        <v>94</v>
      </c>
      <c r="G27" s="131"/>
      <c r="H27" s="131">
        <v>10</v>
      </c>
      <c r="I27" s="131"/>
      <c r="J27" s="131"/>
      <c r="K27" s="131"/>
      <c r="L27" s="131"/>
      <c r="M27" s="131">
        <f t="shared" si="0"/>
        <v>10</v>
      </c>
      <c r="N27" s="130" t="s">
        <v>91</v>
      </c>
      <c r="Q27" s="129"/>
    </row>
    <row r="28" spans="1:17" s="128" customFormat="1" ht="32.25" customHeight="1">
      <c r="A28" s="134"/>
      <c r="B28" s="132" t="s">
        <v>147</v>
      </c>
      <c r="C28" s="133" t="s">
        <v>146</v>
      </c>
      <c r="D28" s="132" t="s">
        <v>145</v>
      </c>
      <c r="E28" s="132"/>
      <c r="F28" s="132" t="s">
        <v>94</v>
      </c>
      <c r="G28" s="131"/>
      <c r="H28" s="131">
        <v>17</v>
      </c>
      <c r="I28" s="131"/>
      <c r="J28" s="131"/>
      <c r="K28" s="131"/>
      <c r="L28" s="131"/>
      <c r="M28" s="131">
        <f t="shared" si="0"/>
        <v>17</v>
      </c>
      <c r="N28" s="130" t="s">
        <v>91</v>
      </c>
      <c r="Q28" s="129"/>
    </row>
    <row r="29" spans="1:17" s="128" customFormat="1" ht="32.25" customHeight="1">
      <c r="A29" s="134"/>
      <c r="B29" s="132" t="s">
        <v>147</v>
      </c>
      <c r="C29" s="133" t="s">
        <v>146</v>
      </c>
      <c r="D29" s="132" t="s">
        <v>145</v>
      </c>
      <c r="E29" s="132"/>
      <c r="F29" s="132" t="s">
        <v>92</v>
      </c>
      <c r="G29" s="131"/>
      <c r="H29" s="131">
        <v>6</v>
      </c>
      <c r="I29" s="131"/>
      <c r="J29" s="131"/>
      <c r="K29" s="131"/>
      <c r="L29" s="131"/>
      <c r="M29" s="131">
        <f t="shared" si="0"/>
        <v>6</v>
      </c>
      <c r="N29" s="130" t="s">
        <v>91</v>
      </c>
      <c r="Q29" s="129"/>
    </row>
    <row r="30" spans="1:17" s="128" customFormat="1" ht="32.25" customHeight="1">
      <c r="A30" s="134"/>
      <c r="B30" s="132" t="s">
        <v>147</v>
      </c>
      <c r="C30" s="133" t="s">
        <v>146</v>
      </c>
      <c r="D30" s="132" t="s">
        <v>145</v>
      </c>
      <c r="E30" s="132"/>
      <c r="F30" s="132" t="s">
        <v>94</v>
      </c>
      <c r="G30" s="131"/>
      <c r="H30" s="131"/>
      <c r="I30" s="131">
        <v>2</v>
      </c>
      <c r="J30" s="131"/>
      <c r="K30" s="131"/>
      <c r="L30" s="131"/>
      <c r="M30" s="131">
        <f t="shared" si="0"/>
        <v>2</v>
      </c>
      <c r="N30" s="130" t="s">
        <v>91</v>
      </c>
      <c r="Q30" s="129"/>
    </row>
    <row r="31" spans="1:17" s="128" customFormat="1" ht="32.25" customHeight="1">
      <c r="A31" s="134"/>
      <c r="B31" s="132" t="s">
        <v>147</v>
      </c>
      <c r="C31" s="133" t="s">
        <v>146</v>
      </c>
      <c r="D31" s="132" t="s">
        <v>145</v>
      </c>
      <c r="E31" s="132"/>
      <c r="F31" s="132" t="s">
        <v>92</v>
      </c>
      <c r="G31" s="131"/>
      <c r="H31" s="131"/>
      <c r="I31" s="131"/>
      <c r="J31" s="131">
        <v>5</v>
      </c>
      <c r="K31" s="131"/>
      <c r="L31" s="131"/>
      <c r="M31" s="131">
        <f t="shared" si="0"/>
        <v>5</v>
      </c>
      <c r="N31" s="130" t="s">
        <v>91</v>
      </c>
      <c r="Q31" s="129"/>
    </row>
    <row r="32" spans="1:17" s="128" customFormat="1" ht="32.25" customHeight="1">
      <c r="A32" s="134"/>
      <c r="B32" s="132" t="s">
        <v>147</v>
      </c>
      <c r="C32" s="133" t="s">
        <v>146</v>
      </c>
      <c r="D32" s="132" t="s">
        <v>145</v>
      </c>
      <c r="E32" s="132"/>
      <c r="F32" s="132" t="s">
        <v>92</v>
      </c>
      <c r="G32" s="131"/>
      <c r="H32" s="131"/>
      <c r="I32" s="131"/>
      <c r="J32" s="131"/>
      <c r="K32" s="131">
        <v>14</v>
      </c>
      <c r="L32" s="131"/>
      <c r="M32" s="131">
        <f t="shared" si="0"/>
        <v>14</v>
      </c>
      <c r="N32" s="130" t="s">
        <v>91</v>
      </c>
      <c r="Q32" s="129"/>
    </row>
    <row r="33" spans="1:17" s="128" customFormat="1" ht="32.25" customHeight="1">
      <c r="A33" s="134"/>
      <c r="B33" s="132" t="s">
        <v>147</v>
      </c>
      <c r="C33" s="133" t="s">
        <v>146</v>
      </c>
      <c r="D33" s="132" t="s">
        <v>145</v>
      </c>
      <c r="E33" s="132"/>
      <c r="F33" s="132" t="s">
        <v>92</v>
      </c>
      <c r="G33" s="131"/>
      <c r="H33" s="131"/>
      <c r="I33" s="131"/>
      <c r="J33" s="131"/>
      <c r="K33" s="131"/>
      <c r="L33" s="131">
        <v>14</v>
      </c>
      <c r="M33" s="131">
        <f t="shared" si="0"/>
        <v>14</v>
      </c>
      <c r="N33" s="130" t="s">
        <v>91</v>
      </c>
      <c r="Q33" s="129"/>
    </row>
    <row r="34" spans="1:17" s="126" customFormat="1" ht="32.25" customHeight="1">
      <c r="A34" s="218" t="s">
        <v>144</v>
      </c>
      <c r="B34" s="209"/>
      <c r="C34" s="209"/>
      <c r="D34" s="119"/>
      <c r="E34" s="119"/>
      <c r="F34" s="119"/>
      <c r="G34" s="127">
        <f t="shared" ref="G34:M34" si="1">SUM(G10:G33)</f>
        <v>334</v>
      </c>
      <c r="H34" s="127">
        <f t="shared" si="1"/>
        <v>33</v>
      </c>
      <c r="I34" s="127">
        <f t="shared" si="1"/>
        <v>2</v>
      </c>
      <c r="J34" s="127">
        <f t="shared" si="1"/>
        <v>5</v>
      </c>
      <c r="K34" s="127">
        <f t="shared" si="1"/>
        <v>14</v>
      </c>
      <c r="L34" s="127">
        <f t="shared" si="1"/>
        <v>14</v>
      </c>
      <c r="M34" s="127">
        <f t="shared" si="1"/>
        <v>402</v>
      </c>
      <c r="N34" s="118"/>
    </row>
    <row r="35" spans="1:17" ht="19.5" customHeight="1">
      <c r="A35" s="220" t="s">
        <v>143</v>
      </c>
      <c r="B35" s="221" t="s">
        <v>142</v>
      </c>
      <c r="C35" s="221"/>
      <c r="D35" s="221"/>
      <c r="E35" s="221"/>
      <c r="F35" s="221"/>
      <c r="G35" s="214" t="s">
        <v>141</v>
      </c>
      <c r="H35" s="214"/>
      <c r="I35" s="214"/>
      <c r="J35" s="214"/>
      <c r="K35" s="214"/>
      <c r="L35" s="214" t="s">
        <v>140</v>
      </c>
      <c r="M35" s="214"/>
      <c r="N35" s="215"/>
    </row>
    <row r="36" spans="1:17" ht="19.5" customHeight="1">
      <c r="A36" s="220"/>
      <c r="B36" s="221"/>
      <c r="C36" s="221"/>
      <c r="D36" s="221"/>
      <c r="E36" s="221"/>
      <c r="F36" s="221"/>
      <c r="G36" s="214" t="s">
        <v>139</v>
      </c>
      <c r="H36" s="214"/>
      <c r="I36" s="214"/>
      <c r="J36" s="214"/>
      <c r="K36" s="214"/>
      <c r="L36" s="214" t="s">
        <v>138</v>
      </c>
      <c r="M36" s="214"/>
      <c r="N36" s="215"/>
    </row>
    <row r="37" spans="1:17" ht="19.5" customHeight="1">
      <c r="A37" s="220"/>
      <c r="B37" s="221"/>
      <c r="C37" s="221"/>
      <c r="D37" s="221"/>
      <c r="E37" s="221"/>
      <c r="F37" s="221"/>
      <c r="G37" s="214" t="s">
        <v>137</v>
      </c>
      <c r="H37" s="214"/>
      <c r="I37" s="214"/>
      <c r="J37" s="214"/>
      <c r="K37" s="214"/>
      <c r="L37" s="214" t="s">
        <v>136</v>
      </c>
      <c r="M37" s="214"/>
      <c r="N37" s="215"/>
    </row>
    <row r="38" spans="1:17" ht="27" customHeight="1">
      <c r="A38" s="218" t="s">
        <v>135</v>
      </c>
      <c r="B38" s="219" t="s">
        <v>134</v>
      </c>
      <c r="C38" s="219"/>
      <c r="D38" s="214" t="s">
        <v>133</v>
      </c>
      <c r="E38" s="214"/>
      <c r="F38" s="214"/>
      <c r="G38" s="214" t="s">
        <v>132</v>
      </c>
      <c r="H38" s="214"/>
      <c r="I38" s="214"/>
      <c r="J38" s="214"/>
      <c r="K38" s="214"/>
      <c r="L38" s="214"/>
      <c r="M38" s="214"/>
      <c r="N38" s="215"/>
    </row>
    <row r="39" spans="1:17" ht="27" customHeight="1">
      <c r="A39" s="218"/>
      <c r="B39" s="219"/>
      <c r="C39" s="219"/>
      <c r="D39" s="214"/>
      <c r="E39" s="214"/>
      <c r="F39" s="214"/>
      <c r="G39" s="214" t="s">
        <v>131</v>
      </c>
      <c r="H39" s="214"/>
      <c r="I39" s="214"/>
      <c r="J39" s="214"/>
      <c r="K39" s="214"/>
      <c r="L39" s="214" t="s">
        <v>130</v>
      </c>
      <c r="M39" s="214"/>
      <c r="N39" s="215"/>
    </row>
    <row r="40" spans="1:17" ht="27" customHeight="1">
      <c r="A40" s="218"/>
      <c r="B40" s="219" t="s">
        <v>129</v>
      </c>
      <c r="C40" s="219"/>
      <c r="D40" s="214" t="s">
        <v>123</v>
      </c>
      <c r="E40" s="214"/>
      <c r="F40" s="214"/>
      <c r="G40" s="214" t="s">
        <v>128</v>
      </c>
      <c r="H40" s="214"/>
      <c r="I40" s="214"/>
      <c r="J40" s="214"/>
      <c r="K40" s="214"/>
      <c r="L40" s="214" t="s">
        <v>127</v>
      </c>
      <c r="M40" s="214"/>
      <c r="N40" s="215"/>
    </row>
    <row r="41" spans="1:17" ht="27" customHeight="1">
      <c r="A41" s="218"/>
      <c r="B41" s="219"/>
      <c r="C41" s="219"/>
      <c r="D41" s="214"/>
      <c r="E41" s="214"/>
      <c r="F41" s="214"/>
      <c r="G41" s="214" t="s">
        <v>126</v>
      </c>
      <c r="H41" s="214"/>
      <c r="I41" s="214"/>
      <c r="J41" s="214"/>
      <c r="K41" s="214"/>
      <c r="L41" s="214" t="s">
        <v>125</v>
      </c>
      <c r="M41" s="214"/>
      <c r="N41" s="215"/>
    </row>
    <row r="42" spans="1:17" ht="21" customHeight="1">
      <c r="A42" s="218"/>
      <c r="B42" s="219"/>
      <c r="C42" s="219"/>
      <c r="D42" s="214"/>
      <c r="E42" s="214"/>
      <c r="F42" s="214"/>
      <c r="G42" s="214" t="s">
        <v>124</v>
      </c>
      <c r="H42" s="214"/>
      <c r="I42" s="214"/>
      <c r="J42" s="214"/>
      <c r="K42" s="214"/>
      <c r="L42" s="214" t="s">
        <v>123</v>
      </c>
      <c r="M42" s="214"/>
      <c r="N42" s="215"/>
    </row>
    <row r="43" spans="1:17" ht="24" customHeight="1">
      <c r="A43" s="218"/>
      <c r="B43" s="216" t="s">
        <v>122</v>
      </c>
      <c r="C43" s="216"/>
      <c r="D43" s="214" t="s">
        <v>121</v>
      </c>
      <c r="E43" s="214"/>
      <c r="F43" s="214"/>
      <c r="G43" s="216" t="s">
        <v>120</v>
      </c>
      <c r="H43" s="216"/>
      <c r="I43" s="216"/>
      <c r="J43" s="216"/>
      <c r="K43" s="216"/>
      <c r="L43" s="216" t="s">
        <v>119</v>
      </c>
      <c r="M43" s="216"/>
      <c r="N43" s="217"/>
    </row>
    <row r="44" spans="1:17" ht="27.75" customHeight="1">
      <c r="A44" s="122" t="s">
        <v>118</v>
      </c>
      <c r="B44" s="207"/>
      <c r="C44" s="207"/>
      <c r="D44" s="207"/>
      <c r="E44" s="120" t="s">
        <v>117</v>
      </c>
      <c r="F44" s="207"/>
      <c r="G44" s="207"/>
      <c r="H44" s="121"/>
      <c r="I44" s="121"/>
      <c r="J44" s="121"/>
      <c r="K44" s="208" t="s">
        <v>116</v>
      </c>
      <c r="L44" s="208"/>
      <c r="M44" s="209"/>
      <c r="N44" s="210"/>
    </row>
    <row r="45" spans="1:17" ht="18.75" customHeight="1" thickBot="1">
      <c r="A45" s="211" t="s">
        <v>115</v>
      </c>
      <c r="B45" s="212"/>
      <c r="C45" s="212"/>
      <c r="D45" s="212"/>
      <c r="E45" s="212"/>
      <c r="F45" s="212"/>
      <c r="G45" s="212"/>
      <c r="H45" s="212"/>
      <c r="I45" s="212"/>
      <c r="J45" s="212"/>
      <c r="K45" s="212"/>
      <c r="L45" s="212"/>
      <c r="M45" s="212"/>
      <c r="N45" s="213"/>
    </row>
    <row r="46" spans="1:17" ht="24" customHeight="1">
      <c r="A46" s="117" t="s">
        <v>114</v>
      </c>
      <c r="B46" s="117"/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</row>
  </sheetData>
  <mergeCells count="53">
    <mergeCell ref="A1:N1"/>
    <mergeCell ref="A2:N2"/>
    <mergeCell ref="B3:E3"/>
    <mergeCell ref="G3:N3"/>
    <mergeCell ref="A4:N4"/>
    <mergeCell ref="C5:E5"/>
    <mergeCell ref="G5:K5"/>
    <mergeCell ref="M5:N5"/>
    <mergeCell ref="G36:K36"/>
    <mergeCell ref="L36:N36"/>
    <mergeCell ref="B8:C9"/>
    <mergeCell ref="D8:D9"/>
    <mergeCell ref="E8:E9"/>
    <mergeCell ref="F8:F9"/>
    <mergeCell ref="A5:B5"/>
    <mergeCell ref="A6:B7"/>
    <mergeCell ref="C6:F6"/>
    <mergeCell ref="G6:N6"/>
    <mergeCell ref="C7:F7"/>
    <mergeCell ref="G7:N7"/>
    <mergeCell ref="G8:M8"/>
    <mergeCell ref="A34:C34"/>
    <mergeCell ref="A35:A37"/>
    <mergeCell ref="B35:F37"/>
    <mergeCell ref="G35:K35"/>
    <mergeCell ref="L35:N35"/>
    <mergeCell ref="A8:A9"/>
    <mergeCell ref="G37:K37"/>
    <mergeCell ref="L37:N37"/>
    <mergeCell ref="B43:C43"/>
    <mergeCell ref="D43:F43"/>
    <mergeCell ref="G43:K43"/>
    <mergeCell ref="L43:N43"/>
    <mergeCell ref="A38:A43"/>
    <mergeCell ref="B38:C39"/>
    <mergeCell ref="D38:F39"/>
    <mergeCell ref="G38:K38"/>
    <mergeCell ref="L38:N38"/>
    <mergeCell ref="G39:K39"/>
    <mergeCell ref="L39:N39"/>
    <mergeCell ref="B40:C42"/>
    <mergeCell ref="D40:F42"/>
    <mergeCell ref="G40:K40"/>
    <mergeCell ref="L40:N40"/>
    <mergeCell ref="G41:K41"/>
    <mergeCell ref="L41:N41"/>
    <mergeCell ref="G42:K42"/>
    <mergeCell ref="L42:N42"/>
    <mergeCell ref="B44:D44"/>
    <mergeCell ref="F44:G44"/>
    <mergeCell ref="K44:L44"/>
    <mergeCell ref="M44:N44"/>
    <mergeCell ref="A45:N45"/>
  </mergeCells>
  <phoneticPr fontId="2" type="noConversion"/>
  <pageMargins left="0.24" right="0.15748031496062992" top="0.5" bottom="0.19685039370078741" header="0.31496062992125984" footer="0.15748031496062992"/>
  <pageSetup paperSize="9" scale="6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 지정된 범위</vt:lpstr>
      </vt:variant>
      <vt:variant>
        <vt:i4>1</vt:i4>
      </vt:variant>
    </vt:vector>
  </HeadingPairs>
  <TitlesOfParts>
    <vt:vector size="9" baseType="lpstr">
      <vt:lpstr>CT박스 증감율</vt:lpstr>
      <vt:lpstr>시판</vt:lpstr>
      <vt:lpstr>영진상회</vt:lpstr>
      <vt:lpstr>일일출하량</vt:lpstr>
      <vt:lpstr>자연인</vt:lpstr>
      <vt:lpstr>한국온라인</vt:lpstr>
      <vt:lpstr>한국청과</vt:lpstr>
      <vt:lpstr>한국청과파레트송품장</vt:lpstr>
      <vt:lpstr>한국청과파레트송품장!Print_Area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민성 손</cp:lastModifiedBy>
  <cp:lastPrinted>2023-11-26T08:06:02Z</cp:lastPrinted>
  <dcterms:created xsi:type="dcterms:W3CDTF">2023-01-31T23:53:54Z</dcterms:created>
  <dcterms:modified xsi:type="dcterms:W3CDTF">2025-07-25T13:35:34Z</dcterms:modified>
</cp:coreProperties>
</file>