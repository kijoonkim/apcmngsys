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9D7929D7-7CFB-4014-9A1A-DDB3AE4912F7}" xr6:coauthVersionLast="47" xr6:coauthVersionMax="47" xr10:uidLastSave="{00000000-0000-0000-0000-000000000000}"/>
  <bookViews>
    <workbookView xWindow="-103" yWindow="-103" windowWidth="22149" windowHeight="13200" tabRatio="595" xr2:uid="{00000000-000D-0000-FFFF-FFFF00000000}"/>
  </bookViews>
  <sheets>
    <sheet name="CT박스 증감율" sheetId="436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36" l="1"/>
  <c r="D32" i="436"/>
  <c r="F31" i="436"/>
  <c r="G31" i="436" s="1"/>
  <c r="F30" i="436"/>
  <c r="G30" i="436" s="1"/>
  <c r="F29" i="436"/>
  <c r="G29" i="436" s="1"/>
  <c r="F28" i="436"/>
  <c r="G28" i="436" s="1"/>
  <c r="F27" i="436"/>
  <c r="G27" i="436" s="1"/>
  <c r="F26" i="436"/>
  <c r="G26" i="436" s="1"/>
  <c r="F25" i="436"/>
  <c r="G25" i="436" s="1"/>
  <c r="F24" i="436"/>
  <c r="G24" i="436" s="1"/>
  <c r="F23" i="436"/>
  <c r="G23" i="436" s="1"/>
  <c r="F22" i="436"/>
  <c r="G22" i="436" s="1"/>
  <c r="F21" i="436"/>
  <c r="G21" i="436" s="1"/>
  <c r="F20" i="436"/>
  <c r="G20" i="436" s="1"/>
  <c r="F19" i="436"/>
  <c r="G19" i="436" s="1"/>
  <c r="F18" i="436"/>
  <c r="G18" i="436" s="1"/>
  <c r="F17" i="436"/>
  <c r="G17" i="436" s="1"/>
  <c r="F16" i="436"/>
  <c r="G16" i="436" s="1"/>
  <c r="F15" i="436"/>
  <c r="G15" i="436" s="1"/>
  <c r="F14" i="436"/>
  <c r="G14" i="436" s="1"/>
  <c r="F13" i="436"/>
  <c r="G13" i="436" s="1"/>
  <c r="F12" i="436"/>
  <c r="G12" i="436" s="1"/>
  <c r="F11" i="436"/>
  <c r="G11" i="436" s="1"/>
  <c r="F10" i="436"/>
  <c r="G10" i="436" s="1"/>
  <c r="F9" i="436"/>
  <c r="G9" i="436" s="1"/>
  <c r="F8" i="436"/>
  <c r="G8" i="436" s="1"/>
  <c r="F7" i="436"/>
  <c r="F32" i="436" l="1"/>
  <c r="G32" i="436" s="1"/>
  <c r="G7" i="436"/>
</calcChain>
</file>

<file path=xl/sharedStrings.xml><?xml version="1.0" encoding="utf-8"?>
<sst xmlns="http://schemas.openxmlformats.org/spreadsheetml/2006/main" count="14" uniqueCount="14">
  <si>
    <t>회사명 : 상주원예영농조합법인</t>
  </si>
  <si>
    <t>종이박스</t>
    <phoneticPr fontId="2" type="noConversion"/>
  </si>
  <si>
    <t>증감량</t>
  </si>
  <si>
    <t>증감율(%)</t>
  </si>
  <si>
    <t>C/T박스</t>
    <phoneticPr fontId="2" type="noConversion"/>
  </si>
  <si>
    <t>합   계</t>
  </si>
  <si>
    <t>날   짜</t>
    <phoneticPr fontId="2" type="noConversion"/>
  </si>
  <si>
    <t>산출량</t>
    <phoneticPr fontId="2" type="noConversion"/>
  </si>
  <si>
    <t>순번</t>
    <phoneticPr fontId="2" type="noConversion"/>
  </si>
  <si>
    <t>생산자</t>
    <phoneticPr fontId="2" type="noConversion"/>
  </si>
  <si>
    <t>입 고 량</t>
    <phoneticPr fontId="2" type="noConversion"/>
  </si>
  <si>
    <t>담당자 : 주임 이한민</t>
    <phoneticPr fontId="2" type="noConversion"/>
  </si>
  <si>
    <t>2024/25년 B동 공동선별사업 C/T박스 대비 종이박스 증감율</t>
    <phoneticPr fontId="2" type="noConversion"/>
  </si>
  <si>
    <t>5월 16일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</si>
</sst>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color theme="1"/>
      <name val="신명조"/>
      <family val="3"/>
      <charset val="129"/>
    </font>
    <font>
      <b/>
      <sz val="12"/>
      <color theme="1"/>
      <name val="신명조"/>
      <family val="3"/>
      <charset val="129"/>
    </font>
    <font>
      <sz val="12"/>
      <color theme="1"/>
      <name val="신명조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3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9" fontId="4" fillId="2" borderId="13" xfId="0" applyNumberFormat="1" applyFont="1" applyFill="1" applyBorder="1" applyAlignment="1">
      <alignment horizontal="center" vertical="center"/>
    </xf>
    <xf numFmtId="9" fontId="4" fillId="2" borderId="13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shrinkToFit="1"/>
    </xf>
    <xf numFmtId="0" fontId="4" fillId="2" borderId="21" xfId="0" applyFont="1" applyFill="1" applyBorder="1" applyAlignment="1">
      <alignment horizontal="center" vertical="center" shrinkToFit="1"/>
    </xf>
  </cellXfs>
  <cellStyles count="10">
    <cellStyle name="백분율" xfId="1" builtinId="5"/>
    <cellStyle name="쉼표 [0] 2" xfId="5" xr:uid="{79CB97B3-AB25-4297-A6E3-02246268AE66}"/>
    <cellStyle name="쉼표 [0] 4" xfId="6" xr:uid="{BAE51D74-621A-4D16-BAC0-57803C8D1720}"/>
    <cellStyle name="쉼표 [0] 5" xfId="7" xr:uid="{BAF90F4A-C5FD-4B81-BF7F-547C36CDA0F3}"/>
    <cellStyle name="표준" xfId="0" builtinId="0"/>
    <cellStyle name="표준 17" xfId="3" xr:uid="{ABA49C16-E980-4B4E-8E7F-DDD6104137AC}"/>
    <cellStyle name="표준 2" xfId="2" xr:uid="{3B3A8C10-9277-40C7-AB19-4F761E2B0B8B}"/>
    <cellStyle name="표준 2 15" xfId="4" xr:uid="{380FDBAA-EDEB-426A-A879-385DAB5081E3}"/>
    <cellStyle name="표준 3" xfId="9" xr:uid="{22604CA7-C038-4C6D-96DA-12B48B721A9C}"/>
    <cellStyle name="표준 4" xfId="8" xr:uid="{73CC2120-A066-4CE8-8C7F-FB65C14A7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14</xdr:row>
      <xdr:rowOff>228600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5FB958-526D-47FA-91D7-25E0A13697ED}"/>
            </a:ext>
          </a:extLst>
        </xdr:cNvPr>
        <xdr:cNvSpPr txBox="1"/>
      </xdr:nvSpPr>
      <xdr:spPr>
        <a:xfrm>
          <a:off x="6934200" y="401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968D-C8C3-4CD3-BAF2-B76758A35492}">
  <dimension ref="A1:G32"/>
  <sheetViews>
    <sheetView tabSelected="1" workbookViewId="0">
      <selection activeCell="E14" sqref="E14"/>
    </sheetView>
  </sheetViews>
  <sheetFormatPr defaultRowHeight="17.600000000000001"/>
  <cols>
    <col min="1" max="7" width="13" customWidth="1"/>
  </cols>
  <sheetData>
    <row r="1" spans="1:7" ht="21.9">
      <c r="A1" s="19" t="s">
        <v>12</v>
      </c>
      <c r="B1" s="19"/>
      <c r="C1" s="19"/>
      <c r="D1" s="19"/>
      <c r="E1" s="19"/>
      <c r="F1" s="19"/>
      <c r="G1" s="19"/>
    </row>
    <row r="2" spans="1:7">
      <c r="A2" s="20" t="s">
        <v>0</v>
      </c>
      <c r="B2" s="20"/>
      <c r="C2" s="20"/>
      <c r="D2" s="20"/>
      <c r="E2" s="20"/>
      <c r="F2" s="20"/>
      <c r="G2" s="20"/>
    </row>
    <row r="3" spans="1:7" ht="18" thickBot="1">
      <c r="A3" s="20" t="s">
        <v>11</v>
      </c>
      <c r="B3" s="20"/>
      <c r="C3" s="20"/>
      <c r="D3" s="20"/>
      <c r="E3" s="20"/>
      <c r="F3" s="20"/>
      <c r="G3" s="20"/>
    </row>
    <row r="4" spans="1:7">
      <c r="A4" s="1" t="s">
        <v>6</v>
      </c>
      <c r="B4" s="21" t="s">
        <v>8</v>
      </c>
      <c r="C4" s="21" t="s">
        <v>9</v>
      </c>
      <c r="D4" s="21" t="s">
        <v>10</v>
      </c>
      <c r="E4" s="25" t="s">
        <v>7</v>
      </c>
      <c r="F4" s="25" t="s">
        <v>2</v>
      </c>
      <c r="G4" s="29" t="s">
        <v>3</v>
      </c>
    </row>
    <row r="5" spans="1:7">
      <c r="A5" s="32" t="s">
        <v>13</v>
      </c>
      <c r="B5" s="22"/>
      <c r="C5" s="22"/>
      <c r="D5" s="24"/>
      <c r="E5" s="26"/>
      <c r="F5" s="27"/>
      <c r="G5" s="30"/>
    </row>
    <row r="6" spans="1:7" ht="18" thickBot="1">
      <c r="A6" s="33"/>
      <c r="B6" s="23"/>
      <c r="C6" s="23"/>
      <c r="D6" s="11" t="s">
        <v>4</v>
      </c>
      <c r="E6" s="13" t="s">
        <v>1</v>
      </c>
      <c r="F6" s="28"/>
      <c r="G6" s="31"/>
    </row>
    <row r="7" spans="1:7" ht="24" customHeight="1" thickTop="1">
      <c r="A7" s="15"/>
      <c r="B7" s="12">
        <v>1</v>
      </c>
      <c r="C7" s="2">
        <v>11</v>
      </c>
      <c r="D7" s="2">
        <v>17</v>
      </c>
      <c r="E7" s="3">
        <v>19</v>
      </c>
      <c r="F7" s="3">
        <f t="shared" ref="F7:F31" si="0">E7-D7</f>
        <v>2</v>
      </c>
      <c r="G7" s="4">
        <f t="shared" ref="G7:G31" si="1">F7/D7</f>
        <v>0.11764705882352941</v>
      </c>
    </row>
    <row r="8" spans="1:7" ht="24" customHeight="1">
      <c r="A8" s="15"/>
      <c r="B8" s="12">
        <v>2</v>
      </c>
      <c r="C8" s="2">
        <v>25</v>
      </c>
      <c r="D8" s="2">
        <v>34</v>
      </c>
      <c r="E8" s="2">
        <v>32</v>
      </c>
      <c r="F8" s="3">
        <f t="shared" si="0"/>
        <v>-2</v>
      </c>
      <c r="G8" s="4">
        <f t="shared" si="1"/>
        <v>-5.8823529411764705E-2</v>
      </c>
    </row>
    <row r="9" spans="1:7" ht="24" customHeight="1">
      <c r="A9" s="15"/>
      <c r="B9" s="12">
        <v>3</v>
      </c>
      <c r="C9" s="2">
        <v>32</v>
      </c>
      <c r="D9" s="2">
        <v>4</v>
      </c>
      <c r="E9" s="2">
        <v>4</v>
      </c>
      <c r="F9" s="3">
        <f t="shared" si="0"/>
        <v>0</v>
      </c>
      <c r="G9" s="5">
        <f t="shared" si="1"/>
        <v>0</v>
      </c>
    </row>
    <row r="10" spans="1:7" ht="24" customHeight="1">
      <c r="A10" s="15"/>
      <c r="B10" s="12">
        <v>4</v>
      </c>
      <c r="C10" s="2">
        <v>299</v>
      </c>
      <c r="D10" s="2">
        <v>7</v>
      </c>
      <c r="E10" s="2">
        <v>7</v>
      </c>
      <c r="F10" s="3">
        <f t="shared" si="0"/>
        <v>0</v>
      </c>
      <c r="G10" s="5">
        <f t="shared" si="1"/>
        <v>0</v>
      </c>
    </row>
    <row r="11" spans="1:7" ht="24" customHeight="1">
      <c r="A11" s="15"/>
      <c r="B11" s="12">
        <v>5</v>
      </c>
      <c r="C11" s="2">
        <v>304</v>
      </c>
      <c r="D11" s="2">
        <v>14</v>
      </c>
      <c r="E11" s="3">
        <v>11</v>
      </c>
      <c r="F11" s="3">
        <f t="shared" si="0"/>
        <v>-3</v>
      </c>
      <c r="G11" s="4">
        <f t="shared" si="1"/>
        <v>-0.21428571428571427</v>
      </c>
    </row>
    <row r="12" spans="1:7" ht="24" customHeight="1">
      <c r="A12" s="15"/>
      <c r="B12" s="12">
        <v>6</v>
      </c>
      <c r="C12" s="2">
        <v>316</v>
      </c>
      <c r="D12" s="2">
        <v>17</v>
      </c>
      <c r="E12" s="3">
        <v>16</v>
      </c>
      <c r="F12" s="3">
        <f t="shared" si="0"/>
        <v>-1</v>
      </c>
      <c r="G12" s="4">
        <f t="shared" si="1"/>
        <v>-5.8823529411764705E-2</v>
      </c>
    </row>
    <row r="13" spans="1:7" ht="24" customHeight="1">
      <c r="A13" s="15"/>
      <c r="B13" s="12">
        <v>7</v>
      </c>
      <c r="C13" s="2">
        <v>350</v>
      </c>
      <c r="D13" s="2">
        <v>46</v>
      </c>
      <c r="E13" s="3">
        <v>49</v>
      </c>
      <c r="F13" s="3">
        <f t="shared" si="0"/>
        <v>3</v>
      </c>
      <c r="G13" s="4">
        <f t="shared" si="1"/>
        <v>6.5217391304347824E-2</v>
      </c>
    </row>
    <row r="14" spans="1:7" ht="24" customHeight="1">
      <c r="A14" s="15"/>
      <c r="B14" s="12">
        <v>8</v>
      </c>
      <c r="C14" s="2">
        <v>387</v>
      </c>
      <c r="D14" s="2">
        <v>31</v>
      </c>
      <c r="E14" s="3">
        <v>26</v>
      </c>
      <c r="F14" s="3">
        <f t="shared" si="0"/>
        <v>-5</v>
      </c>
      <c r="G14" s="4">
        <f t="shared" si="1"/>
        <v>-0.16129032258064516</v>
      </c>
    </row>
    <row r="15" spans="1:7" ht="24" customHeight="1">
      <c r="A15" s="15"/>
      <c r="B15" s="12">
        <v>9</v>
      </c>
      <c r="C15" s="2">
        <v>418</v>
      </c>
      <c r="D15" s="2">
        <v>29</v>
      </c>
      <c r="E15" s="3">
        <v>32</v>
      </c>
      <c r="F15" s="3">
        <f t="shared" si="0"/>
        <v>3</v>
      </c>
      <c r="G15" s="4">
        <f t="shared" si="1"/>
        <v>0.10344827586206896</v>
      </c>
    </row>
    <row r="16" spans="1:7" ht="24" customHeight="1">
      <c r="A16" s="15"/>
      <c r="B16" s="12">
        <v>10</v>
      </c>
      <c r="C16" s="2">
        <v>435</v>
      </c>
      <c r="D16" s="2">
        <v>13</v>
      </c>
      <c r="E16" s="3">
        <v>12</v>
      </c>
      <c r="F16" s="3">
        <f t="shared" si="0"/>
        <v>-1</v>
      </c>
      <c r="G16" s="4">
        <f t="shared" si="1"/>
        <v>-7.6923076923076927E-2</v>
      </c>
    </row>
    <row r="17" spans="1:7" ht="24" customHeight="1">
      <c r="A17" s="15"/>
      <c r="B17" s="12">
        <v>11</v>
      </c>
      <c r="C17" s="2">
        <v>456</v>
      </c>
      <c r="D17" s="2">
        <v>62</v>
      </c>
      <c r="E17" s="3">
        <v>50</v>
      </c>
      <c r="F17" s="3">
        <f>E17-D17</f>
        <v>-12</v>
      </c>
      <c r="G17" s="5">
        <f>F17/D17</f>
        <v>-0.19354838709677419</v>
      </c>
    </row>
    <row r="18" spans="1:7" ht="24" customHeight="1">
      <c r="A18" s="15"/>
      <c r="B18" s="12">
        <v>12</v>
      </c>
      <c r="C18" s="2">
        <v>482</v>
      </c>
      <c r="D18" s="2">
        <v>40</v>
      </c>
      <c r="E18" s="3">
        <v>43</v>
      </c>
      <c r="F18" s="3">
        <f>E18-D18</f>
        <v>3</v>
      </c>
      <c r="G18" s="5">
        <f>F18/D18</f>
        <v>7.4999999999999997E-2</v>
      </c>
    </row>
    <row r="19" spans="1:7" ht="24" customHeight="1">
      <c r="A19" s="15"/>
      <c r="B19" s="12">
        <v>13</v>
      </c>
      <c r="C19" s="2">
        <v>491</v>
      </c>
      <c r="D19" s="2">
        <v>38</v>
      </c>
      <c r="E19" s="3">
        <v>37</v>
      </c>
      <c r="F19" s="3">
        <f t="shared" si="0"/>
        <v>-1</v>
      </c>
      <c r="G19" s="5">
        <f t="shared" si="1"/>
        <v>-2.6315789473684209E-2</v>
      </c>
    </row>
    <row r="20" spans="1:7" ht="24" customHeight="1">
      <c r="A20" s="15"/>
      <c r="B20" s="12">
        <v>14</v>
      </c>
      <c r="C20" s="2">
        <v>513</v>
      </c>
      <c r="D20" s="2">
        <v>38</v>
      </c>
      <c r="E20" s="3">
        <v>35</v>
      </c>
      <c r="F20" s="3">
        <f t="shared" si="0"/>
        <v>-3</v>
      </c>
      <c r="G20" s="4">
        <f t="shared" si="1"/>
        <v>-7.8947368421052627E-2</v>
      </c>
    </row>
    <row r="21" spans="1:7" ht="24" customHeight="1">
      <c r="A21" s="15"/>
      <c r="B21" s="12">
        <v>15</v>
      </c>
      <c r="C21" s="2">
        <v>527</v>
      </c>
      <c r="D21" s="3">
        <v>29</v>
      </c>
      <c r="E21" s="3">
        <v>31</v>
      </c>
      <c r="F21" s="3">
        <f t="shared" si="0"/>
        <v>2</v>
      </c>
      <c r="G21" s="5">
        <f t="shared" si="1"/>
        <v>6.8965517241379309E-2</v>
      </c>
    </row>
    <row r="22" spans="1:7" ht="24" customHeight="1">
      <c r="A22" s="15"/>
      <c r="B22" s="12">
        <v>16</v>
      </c>
      <c r="C22" s="2">
        <v>534</v>
      </c>
      <c r="D22" s="2">
        <v>17</v>
      </c>
      <c r="E22" s="2">
        <v>16</v>
      </c>
      <c r="F22" s="3">
        <f t="shared" si="0"/>
        <v>-1</v>
      </c>
      <c r="G22" s="4">
        <f t="shared" si="1"/>
        <v>-5.8823529411764705E-2</v>
      </c>
    </row>
    <row r="23" spans="1:7" ht="24" customHeight="1">
      <c r="A23" s="15"/>
      <c r="B23" s="12">
        <v>17</v>
      </c>
      <c r="C23" s="2">
        <v>536</v>
      </c>
      <c r="D23" s="2">
        <v>43</v>
      </c>
      <c r="E23" s="2">
        <v>43</v>
      </c>
      <c r="F23" s="3">
        <f t="shared" si="0"/>
        <v>0</v>
      </c>
      <c r="G23" s="4">
        <f t="shared" si="1"/>
        <v>0</v>
      </c>
    </row>
    <row r="24" spans="1:7" ht="24" customHeight="1">
      <c r="A24" s="15"/>
      <c r="B24" s="12">
        <v>18</v>
      </c>
      <c r="C24" s="7">
        <v>546</v>
      </c>
      <c r="D24" s="2">
        <v>44</v>
      </c>
      <c r="E24" s="2">
        <v>45</v>
      </c>
      <c r="F24" s="3">
        <f t="shared" si="0"/>
        <v>1</v>
      </c>
      <c r="G24" s="4">
        <f t="shared" si="1"/>
        <v>2.2727272727272728E-2</v>
      </c>
    </row>
    <row r="25" spans="1:7" ht="24" customHeight="1">
      <c r="A25" s="15"/>
      <c r="B25" s="12">
        <v>19</v>
      </c>
      <c r="C25" s="2"/>
      <c r="D25" s="2"/>
      <c r="E25" s="2"/>
      <c r="F25" s="3">
        <f t="shared" si="0"/>
        <v>0</v>
      </c>
      <c r="G25" s="4" t="e">
        <f t="shared" si="1"/>
        <v>#DIV/0!</v>
      </c>
    </row>
    <row r="26" spans="1:7" ht="24" customHeight="1">
      <c r="A26" s="15"/>
      <c r="B26" s="12">
        <v>20</v>
      </c>
      <c r="C26" s="7"/>
      <c r="D26" s="2"/>
      <c r="E26" s="2"/>
      <c r="F26" s="3">
        <f>E26-D26</f>
        <v>0</v>
      </c>
      <c r="G26" s="4" t="e">
        <f t="shared" si="1"/>
        <v>#DIV/0!</v>
      </c>
    </row>
    <row r="27" spans="1:7" ht="24" customHeight="1">
      <c r="A27" s="15"/>
      <c r="B27" s="12">
        <v>21</v>
      </c>
      <c r="C27" s="2"/>
      <c r="D27" s="2"/>
      <c r="E27" s="2"/>
      <c r="F27" s="3">
        <f t="shared" si="0"/>
        <v>0</v>
      </c>
      <c r="G27" s="4" t="e">
        <f t="shared" si="1"/>
        <v>#DIV/0!</v>
      </c>
    </row>
    <row r="28" spans="1:7" ht="24" customHeight="1">
      <c r="A28" s="15"/>
      <c r="B28" s="12">
        <v>22</v>
      </c>
      <c r="C28" s="2"/>
      <c r="D28" s="2"/>
      <c r="E28" s="2"/>
      <c r="F28" s="3">
        <f t="shared" si="0"/>
        <v>0</v>
      </c>
      <c r="G28" s="4" t="e">
        <f t="shared" si="1"/>
        <v>#DIV/0!</v>
      </c>
    </row>
    <row r="29" spans="1:7" ht="24" customHeight="1">
      <c r="A29" s="15"/>
      <c r="B29" s="12">
        <v>23</v>
      </c>
      <c r="C29" s="6"/>
      <c r="D29" s="2"/>
      <c r="E29" s="2"/>
      <c r="F29" s="3">
        <f t="shared" si="0"/>
        <v>0</v>
      </c>
      <c r="G29" s="4" t="e">
        <f t="shared" si="1"/>
        <v>#DIV/0!</v>
      </c>
    </row>
    <row r="30" spans="1:7" ht="24" customHeight="1">
      <c r="A30" s="15"/>
      <c r="B30" s="12">
        <v>24</v>
      </c>
      <c r="C30" s="2"/>
      <c r="D30" s="2"/>
      <c r="E30" s="2"/>
      <c r="F30" s="3">
        <f t="shared" si="0"/>
        <v>0</v>
      </c>
      <c r="G30" s="4" t="e">
        <f t="shared" si="1"/>
        <v>#DIV/0!</v>
      </c>
    </row>
    <row r="31" spans="1:7" ht="24" customHeight="1">
      <c r="A31" s="15"/>
      <c r="B31" s="12">
        <v>25</v>
      </c>
      <c r="C31" s="8"/>
      <c r="D31" s="2"/>
      <c r="E31" s="2"/>
      <c r="F31" s="3">
        <f t="shared" si="0"/>
        <v>0</v>
      </c>
      <c r="G31" s="4" t="e">
        <f t="shared" si="1"/>
        <v>#DIV/0!</v>
      </c>
    </row>
    <row r="32" spans="1:7" ht="24" customHeight="1" thickBot="1">
      <c r="A32" s="16" t="s">
        <v>5</v>
      </c>
      <c r="B32" s="17"/>
      <c r="C32" s="18"/>
      <c r="D32" s="14">
        <f>SUM(D7:D31)</f>
        <v>523</v>
      </c>
      <c r="E32" s="9">
        <f>SUM(E7:E31)</f>
        <v>508</v>
      </c>
      <c r="F32" s="9">
        <f>SUM(F7:F31)</f>
        <v>-15</v>
      </c>
      <c r="G32" s="10">
        <f>F32/E32</f>
        <v>-2.952755905511811E-2</v>
      </c>
    </row>
  </sheetData>
  <sortState xmlns:xlrd2="http://schemas.microsoft.com/office/spreadsheetml/2017/richdata2" ref="C7:E24">
    <sortCondition ref="C7:C24"/>
  </sortState>
  <mergeCells count="12">
    <mergeCell ref="A7:A31"/>
    <mergeCell ref="A32:C32"/>
    <mergeCell ref="A1:G1"/>
    <mergeCell ref="A2:G2"/>
    <mergeCell ref="A3:G3"/>
    <mergeCell ref="B4:B6"/>
    <mergeCell ref="C4:C6"/>
    <mergeCell ref="D4:D5"/>
    <mergeCell ref="E4:E5"/>
    <mergeCell ref="F4:F6"/>
    <mergeCell ref="G4:G6"/>
    <mergeCell ref="A5:A6"/>
  </mergeCells>
  <phoneticPr fontId="2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CT박스 증감율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민성 손</cp:lastModifiedBy>
  <cp:lastPrinted>2023-11-26T08:06:02Z</cp:lastPrinted>
  <dcterms:created xsi:type="dcterms:W3CDTF">2023-01-31T23:53:54Z</dcterms:created>
  <dcterms:modified xsi:type="dcterms:W3CDTF">2025-07-28T00:08:49Z</dcterms:modified>
</cp:coreProperties>
</file>